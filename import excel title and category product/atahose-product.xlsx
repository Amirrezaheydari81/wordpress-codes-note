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irr\Downloads\Telegram Desktop\"/>
    </mc:Choice>
  </mc:AlternateContent>
  <xr:revisionPtr revIDLastSave="0" documentId="13_ncr:1_{62022889-21E8-44FE-AC35-7EF876B91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کسل کیری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1" i="1" l="1"/>
  <c r="A332" i="1"/>
  <c r="A333" i="1"/>
  <c r="A33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26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40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293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61" i="1"/>
  <c r="A257" i="1"/>
  <c r="A258" i="1"/>
  <c r="A259" i="1"/>
  <c r="A260" i="1"/>
  <c r="A256" i="1"/>
  <c r="A248" i="1"/>
  <c r="A249" i="1"/>
  <c r="A250" i="1"/>
  <c r="A251" i="1"/>
  <c r="A252" i="1"/>
  <c r="A253" i="1"/>
  <c r="A254" i="1"/>
  <c r="A255" i="1"/>
  <c r="A247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34" i="1"/>
  <c r="A230" i="1"/>
  <c r="A231" i="1"/>
  <c r="A232" i="1"/>
  <c r="A233" i="1"/>
  <c r="A229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11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193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65" i="1"/>
  <c r="A160" i="1"/>
  <c r="A161" i="1"/>
  <c r="A162" i="1"/>
  <c r="A163" i="1"/>
  <c r="A164" i="1"/>
  <c r="A159" i="1"/>
  <c r="A151" i="1"/>
  <c r="A152" i="1"/>
  <c r="A153" i="1"/>
  <c r="A154" i="1"/>
  <c r="A155" i="1"/>
  <c r="A156" i="1"/>
  <c r="A157" i="1"/>
  <c r="A158" i="1"/>
  <c r="A150" i="1"/>
  <c r="A147" i="1"/>
  <c r="A148" i="1"/>
  <c r="A149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2" i="1"/>
  <c r="A113" i="1"/>
  <c r="A114" i="1"/>
  <c r="A115" i="1"/>
  <c r="A116" i="1"/>
  <c r="A117" i="1"/>
  <c r="A111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78" i="1"/>
  <c r="A71" i="1"/>
  <c r="A72" i="1"/>
  <c r="A73" i="1"/>
  <c r="A74" i="1"/>
  <c r="A75" i="1"/>
  <c r="A76" i="1"/>
  <c r="A77" i="1"/>
  <c r="A70" i="1"/>
</calcChain>
</file>

<file path=xl/sharedStrings.xml><?xml version="1.0" encoding="utf-8"?>
<sst xmlns="http://schemas.openxmlformats.org/spreadsheetml/2006/main" count="2633" uniqueCount="193">
  <si>
    <t>نام</t>
  </si>
  <si>
    <t>در انبار؟</t>
  </si>
  <si>
    <t>دسته‌ها</t>
  </si>
  <si>
    <t>نام 1 صفت</t>
  </si>
  <si>
    <t>مقدار(های) 1 صفت</t>
  </si>
  <si>
    <t>نمایان بودن 1 صفت</t>
  </si>
  <si>
    <t>صفت 1 سراسری</t>
  </si>
  <si>
    <t>نام 2 صفت</t>
  </si>
  <si>
    <t>مقدار(های) 2 صفت</t>
  </si>
  <si>
    <t>نمایان بودن 2 صفت</t>
  </si>
  <si>
    <t>صفت 2 سراسری</t>
  </si>
  <si>
    <t>نام 3 صفت</t>
  </si>
  <si>
    <t>مقدار(های) 3 صفت</t>
  </si>
  <si>
    <t>نمایان بودن 3 صفت</t>
  </si>
  <si>
    <t>صفت 3 سراسری</t>
  </si>
  <si>
    <t>نام 4 صفت</t>
  </si>
  <si>
    <t>مقدار(های) 4 صفت</t>
  </si>
  <si>
    <t>نمایان بودن 4 صفت</t>
  </si>
  <si>
    <t>صفت 4 سراسری</t>
  </si>
  <si>
    <t>نام 5 صفت</t>
  </si>
  <si>
    <t>مقدار(های) 5 صفت</t>
  </si>
  <si>
    <t>نمایان بودن 5 صفت</t>
  </si>
  <si>
    <t>صفت 5 سراسری</t>
  </si>
  <si>
    <t>نام 6 صفت</t>
  </si>
  <si>
    <t>مقدار(های) 6 صفت</t>
  </si>
  <si>
    <t>نمایان بودن 6 صفت</t>
  </si>
  <si>
    <t>صفت 6 سراسری</t>
  </si>
  <si>
    <t>شلنگ های مستقیم</t>
  </si>
  <si>
    <t>قطر داخلی (میلیمتر)</t>
  </si>
  <si>
    <t>ارتفاع كل</t>
  </si>
  <si>
    <t>ضخامت (میلیمتر)</t>
  </si>
  <si>
    <t>تعداد لایه</t>
  </si>
  <si>
    <t>جنس</t>
  </si>
  <si>
    <t>سيليكون</t>
  </si>
  <si>
    <t>رنگ(داخلی/بیرونی)</t>
  </si>
  <si>
    <t>قرمز/آبی</t>
  </si>
  <si>
    <t>خم های غیر استاندارد</t>
  </si>
  <si>
    <t>76/63</t>
  </si>
  <si>
    <t>51/40</t>
  </si>
  <si>
    <t>60/51</t>
  </si>
  <si>
    <t>70/60</t>
  </si>
  <si>
    <t>63/76</t>
  </si>
  <si>
    <t>پشمی</t>
  </si>
  <si>
    <t>صفت 7 سراسری</t>
  </si>
  <si>
    <t>نمایان بودن 7 صفت</t>
  </si>
  <si>
    <t>مقدار(های) 7 صفت</t>
  </si>
  <si>
    <t>نام 7  صفت</t>
  </si>
  <si>
    <t>طول(میلیمتر)</t>
  </si>
  <si>
    <t>150*150</t>
  </si>
  <si>
    <t>102*102</t>
  </si>
  <si>
    <t>200*200</t>
  </si>
  <si>
    <t>102*108</t>
  </si>
  <si>
    <t>125*95*125</t>
  </si>
  <si>
    <t xml:space="preserve">هواکش لاستیکی </t>
  </si>
  <si>
    <t>SBR</t>
  </si>
  <si>
    <t>بست استیل فنردار</t>
  </si>
  <si>
    <t>74-79</t>
  </si>
  <si>
    <t>80-85</t>
  </si>
  <si>
    <t>86-91</t>
  </si>
  <si>
    <t>92-97</t>
  </si>
  <si>
    <t>98-103</t>
  </si>
  <si>
    <t>104-112</t>
  </si>
  <si>
    <t>113-121</t>
  </si>
  <si>
    <t>122-130</t>
  </si>
  <si>
    <t>79-74</t>
  </si>
  <si>
    <t>85-80</t>
  </si>
  <si>
    <t>91-86</t>
  </si>
  <si>
    <t>97-92</t>
  </si>
  <si>
    <t>103-98</t>
  </si>
  <si>
    <t>112-104</t>
  </si>
  <si>
    <t>121-113</t>
  </si>
  <si>
    <t>130-122</t>
  </si>
  <si>
    <t>sst 304</t>
  </si>
  <si>
    <t>صفت 8 سراسری</t>
  </si>
  <si>
    <t>نمایان بودن 8 صفت</t>
  </si>
  <si>
    <t>مقدار(های) 8 صفت</t>
  </si>
  <si>
    <t>نام 8  صفت</t>
  </si>
  <si>
    <t>سایز (میلیمتر)</t>
  </si>
  <si>
    <t>بست استیل آچاری</t>
  </si>
  <si>
    <t>17-19</t>
  </si>
  <si>
    <t>20-22</t>
  </si>
  <si>
    <t>23-25</t>
  </si>
  <si>
    <t>26-28</t>
  </si>
  <si>
    <t>29-31</t>
  </si>
  <si>
    <t>32-35</t>
  </si>
  <si>
    <t>36-39</t>
  </si>
  <si>
    <t>40-43</t>
  </si>
  <si>
    <t>44-47</t>
  </si>
  <si>
    <t>48-51</t>
  </si>
  <si>
    <t>52-55</t>
  </si>
  <si>
    <t>56-59</t>
  </si>
  <si>
    <t>60-63</t>
  </si>
  <si>
    <t>64-67</t>
  </si>
  <si>
    <t>68-73</t>
  </si>
  <si>
    <t>131-139</t>
  </si>
  <si>
    <t>140-148</t>
  </si>
  <si>
    <t>149-161</t>
  </si>
  <si>
    <t>162-174</t>
  </si>
  <si>
    <t>175-187</t>
  </si>
  <si>
    <t>188-200</t>
  </si>
  <si>
    <t>201-213</t>
  </si>
  <si>
    <t>214-226</t>
  </si>
  <si>
    <t>227-239</t>
  </si>
  <si>
    <t>240-252</t>
  </si>
  <si>
    <t>بانداژ(نوار پخت)</t>
  </si>
  <si>
    <t>سایز (سانتی متر)</t>
  </si>
  <si>
    <t>طول هر رول(متر)</t>
  </si>
  <si>
    <t xml:space="preserve">زانویی 90 درجه </t>
  </si>
  <si>
    <t>سیلیکون</t>
  </si>
  <si>
    <t>طول ساق(میلیمتر)</t>
  </si>
  <si>
    <t>125*125</t>
  </si>
  <si>
    <t>260*260</t>
  </si>
  <si>
    <t>175*175</t>
  </si>
  <si>
    <t xml:space="preserve">تیوپ کتابی بادشو(شفاف) </t>
  </si>
  <si>
    <t>آلمانی TPU</t>
  </si>
  <si>
    <t>متراژ هر رول(متر)</t>
  </si>
  <si>
    <t>نام 9  صفت</t>
  </si>
  <si>
    <t>مقدار(های) 9 صفت</t>
  </si>
  <si>
    <t>نمایان بودن 9 صفت</t>
  </si>
  <si>
    <t>صفت 9 سراسری</t>
  </si>
  <si>
    <t>عرض(میلیمتر)</t>
  </si>
  <si>
    <t>تیوپ های لاستیکی بادشو</t>
  </si>
  <si>
    <t>طول(متر)</t>
  </si>
  <si>
    <t>نام 10  صفت</t>
  </si>
  <si>
    <t>مقدار(های) 10 صفت</t>
  </si>
  <si>
    <t>نمایان بودن 10 صفت</t>
  </si>
  <si>
    <t>صفت 10 سراسری</t>
  </si>
  <si>
    <t>قطر خارجی(میلیمتر)</t>
  </si>
  <si>
    <t>شلنگ تخلیه سیمان</t>
  </si>
  <si>
    <t>نام 11  صفت</t>
  </si>
  <si>
    <t>مقدار(های) 11 صفت</t>
  </si>
  <si>
    <t>نمایان بودن 11 صفت</t>
  </si>
  <si>
    <t>صفت 11 سراسری</t>
  </si>
  <si>
    <t>وزن کل(کیلوگرم)</t>
  </si>
  <si>
    <t>شلنگ های مستقیم(صاف)</t>
  </si>
  <si>
    <t>شلنگ های لاستیک ضد روغن</t>
  </si>
  <si>
    <t>NBR</t>
  </si>
  <si>
    <t>طول(سانتی متر)</t>
  </si>
  <si>
    <t>شلنگ های لاستیک آب</t>
  </si>
  <si>
    <t>شلنگ باد ناجین</t>
  </si>
  <si>
    <t>PA12</t>
  </si>
  <si>
    <t>مشکی</t>
  </si>
  <si>
    <t>نام 12  صفت</t>
  </si>
  <si>
    <t>مقدار(های) 12 صفت</t>
  </si>
  <si>
    <t>نمایان بودن 12 صفت</t>
  </si>
  <si>
    <t>صفت 12 سراسری</t>
  </si>
  <si>
    <t>فشار کاری(بار)</t>
  </si>
  <si>
    <t>شلنگ های بخاری سیلیکونی</t>
  </si>
  <si>
    <t>نارنجی/آبی</t>
  </si>
  <si>
    <t>شلنگ های لاستیکی بخاری</t>
  </si>
  <si>
    <t>EPDM</t>
  </si>
  <si>
    <t>نام 13  صفت</t>
  </si>
  <si>
    <t>مقدار(های) 13 صفت</t>
  </si>
  <si>
    <t>نمایان بودن 13 صفت</t>
  </si>
  <si>
    <t>صفت 13 سراسری</t>
  </si>
  <si>
    <t>سطح خارجی</t>
  </si>
  <si>
    <t>صاف</t>
  </si>
  <si>
    <t>سطح داخلی</t>
  </si>
  <si>
    <t>نام 14  صفت</t>
  </si>
  <si>
    <t>مقدار(های) 14 صفت</t>
  </si>
  <si>
    <t>نمایان بودن 14 صفت</t>
  </si>
  <si>
    <t>صفت 14 سراسری</t>
  </si>
  <si>
    <t>شلنگ های هوای فشرده</t>
  </si>
  <si>
    <t>سطح بیرونی</t>
  </si>
  <si>
    <t>بانداژی</t>
  </si>
  <si>
    <t>اینتر کولر  و رابط سوپر</t>
  </si>
  <si>
    <t>102/90</t>
  </si>
  <si>
    <t>114/102</t>
  </si>
  <si>
    <t>آبی</t>
  </si>
  <si>
    <t>طول کل(میلیمتر)</t>
  </si>
  <si>
    <t>نام 15  صفت</t>
  </si>
  <si>
    <t>مقدار(های) 15 صفت</t>
  </si>
  <si>
    <t>نمایان بودن 15 صفت</t>
  </si>
  <si>
    <t>صفت 15 سراسری</t>
  </si>
  <si>
    <t>تعداد رینگ</t>
  </si>
  <si>
    <t>رابط های مستقیم</t>
  </si>
  <si>
    <t>80/76</t>
  </si>
  <si>
    <t>85/63</t>
  </si>
  <si>
    <t>90/80</t>
  </si>
  <si>
    <t>102/80</t>
  </si>
  <si>
    <t>110/102</t>
  </si>
  <si>
    <t>ضخامت(میلیمتر)</t>
  </si>
  <si>
    <t>ارتفاع كل(میلیمتر)</t>
  </si>
  <si>
    <t>آبی/قرمز</t>
  </si>
  <si>
    <t>مشکی/قرمز</t>
  </si>
  <si>
    <t>خرطومی فنردار آب</t>
  </si>
  <si>
    <t>خم های تقویت شده</t>
  </si>
  <si>
    <t>ضخامت</t>
  </si>
  <si>
    <t>طول ساق(سانتی متر)</t>
  </si>
  <si>
    <t>20*20</t>
  </si>
  <si>
    <t>30*25</t>
  </si>
  <si>
    <t>12*26*15</t>
  </si>
  <si>
    <t>13*26*20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</si>
</sst>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0" fontId="0" fillId="36" borderId="0" xfId="0" applyFill="1"/>
    <xf numFmtId="0" fontId="18" fillId="36" borderId="0" xfId="0" applyFont="1" applyFill="1"/>
    <xf numFmtId="0" fontId="0" fillId="36" borderId="0" xfId="0" applyFill="1" applyAlignment="1">
      <alignment horizontal="right"/>
    </xf>
    <xf numFmtId="0" fontId="0" fillId="37" borderId="0" xfId="0" applyFill="1"/>
    <xf numFmtId="0" fontId="18" fillId="37" borderId="0" xfId="0" applyFont="1" applyFill="1"/>
    <xf numFmtId="0" fontId="19" fillId="37" borderId="10" xfId="0" applyFont="1" applyFill="1" applyBorder="1" applyAlignment="1">
      <alignment horizontal="right" vertical="center"/>
    </xf>
    <xf numFmtId="0" fontId="20" fillId="37" borderId="0" xfId="0" applyFont="1" applyFill="1" applyAlignment="1">
      <alignment readingOrder="2"/>
    </xf>
    <xf numFmtId="0" fontId="0" fillId="38" borderId="0" xfId="0" applyFill="1"/>
    <xf numFmtId="0" fontId="0" fillId="39" borderId="0" xfId="0" applyFill="1"/>
    <xf numFmtId="0" fontId="0" fillId="37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40" borderId="0" xfId="0" applyFill="1"/>
    <xf numFmtId="0" fontId="0" fillId="40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8" fillId="33" borderId="0" xfId="0" applyFont="1" applyFill="1"/>
    <xf numFmtId="0" fontId="0" fillId="34" borderId="0" xfId="0" applyFill="1" applyAlignment="1">
      <alignment horizontal="right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33"/>
  <sheetViews>
    <sheetView rightToLeft="1" tabSelected="1" topLeftCell="A301" zoomScaleNormal="100" workbookViewId="0">
      <selection activeCell="E314" sqref="E314"/>
    </sheetView>
  </sheetViews>
  <sheetFormatPr defaultRowHeight="15" x14ac:dyDescent="0.25"/>
  <cols>
    <col min="1" max="1" width="58" customWidth="1"/>
    <col min="2" max="2" width="7.5703125" customWidth="1"/>
    <col min="3" max="3" width="19.42578125" customWidth="1"/>
    <col min="4" max="5" width="17.28515625" customWidth="1"/>
    <col min="8" max="8" width="14.42578125" customWidth="1"/>
    <col min="12" max="12" width="15.140625" customWidth="1"/>
    <col min="14" max="14" width="11.140625" customWidth="1"/>
    <col min="28" max="28" width="17.5703125" customWidth="1"/>
    <col min="29" max="29" width="25.7109375" customWidth="1"/>
    <col min="31" max="31" width="13.28515625" customWidth="1"/>
    <col min="32" max="32" width="17.42578125" customWidth="1"/>
    <col min="33" max="33" width="16.7109375" customWidth="1"/>
    <col min="34" max="34" width="19.28515625" customWidth="1"/>
    <col min="61" max="61" width="17.140625" customWidth="1"/>
    <col min="62" max="62" width="9.1406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46</v>
      </c>
      <c r="AC1" t="s">
        <v>45</v>
      </c>
      <c r="AD1" t="s">
        <v>44</v>
      </c>
      <c r="AE1" t="s">
        <v>43</v>
      </c>
      <c r="AF1" t="s">
        <v>76</v>
      </c>
      <c r="AG1" t="s">
        <v>75</v>
      </c>
      <c r="AH1" t="s">
        <v>74</v>
      </c>
      <c r="AI1" t="s">
        <v>73</v>
      </c>
      <c r="AJ1" t="s">
        <v>116</v>
      </c>
      <c r="AK1" t="s">
        <v>117</v>
      </c>
      <c r="AL1" t="s">
        <v>118</v>
      </c>
      <c r="AM1" t="s">
        <v>119</v>
      </c>
      <c r="AN1" t="s">
        <v>123</v>
      </c>
      <c r="AO1" t="s">
        <v>124</v>
      </c>
      <c r="AP1" t="s">
        <v>125</v>
      </c>
      <c r="AQ1" t="s">
        <v>126</v>
      </c>
      <c r="AR1" t="s">
        <v>129</v>
      </c>
      <c r="AS1" t="s">
        <v>130</v>
      </c>
      <c r="AT1" t="s">
        <v>131</v>
      </c>
      <c r="AU1" t="s">
        <v>132</v>
      </c>
      <c r="AV1" t="s">
        <v>142</v>
      </c>
      <c r="AW1" t="s">
        <v>143</v>
      </c>
      <c r="AX1" t="s">
        <v>144</v>
      </c>
      <c r="AY1" t="s">
        <v>145</v>
      </c>
      <c r="AZ1" t="s">
        <v>151</v>
      </c>
      <c r="BA1" t="s">
        <v>152</v>
      </c>
      <c r="BB1" t="s">
        <v>153</v>
      </c>
      <c r="BC1" t="s">
        <v>154</v>
      </c>
      <c r="BD1" t="s">
        <v>158</v>
      </c>
      <c r="BE1" t="s">
        <v>159</v>
      </c>
      <c r="BF1" t="s">
        <v>160</v>
      </c>
      <c r="BG1" t="s">
        <v>161</v>
      </c>
      <c r="BH1" t="s">
        <v>170</v>
      </c>
      <c r="BI1" t="s">
        <v>171</v>
      </c>
      <c r="BJ1" t="s">
        <v>172</v>
      </c>
      <c r="BK1" t="s">
        <v>173</v>
      </c>
    </row>
    <row r="2" spans="1:63" s="3" customFormat="1" x14ac:dyDescent="0.25">
      <c r="A2" s="3" t="str">
        <f>"شلنگ مستقیم" &amp;" " &amp;"قطر"&amp; E2 &amp;" "&amp; "ضخامت "&amp;Q2 &amp;"لایه"&amp;" "&amp; M2 &amp;" "&amp;I2&amp;"متری"</f>
        <v>شلنگ مستقیم قطر14 ضخامت 3لایه 4 1متری</v>
      </c>
      <c r="B2" s="3">
        <v>1</v>
      </c>
      <c r="C2" s="3" t="s">
        <v>27</v>
      </c>
      <c r="D2" s="3" t="s">
        <v>28</v>
      </c>
      <c r="E2" s="3">
        <v>14</v>
      </c>
      <c r="F2" s="3">
        <v>1</v>
      </c>
      <c r="G2" s="3">
        <v>1</v>
      </c>
      <c r="H2" s="3" t="s">
        <v>29</v>
      </c>
      <c r="I2" s="3">
        <v>1</v>
      </c>
      <c r="J2" s="3">
        <v>1</v>
      </c>
      <c r="K2" s="3">
        <v>1</v>
      </c>
      <c r="L2" s="3" t="s">
        <v>30</v>
      </c>
      <c r="M2" s="3">
        <v>4</v>
      </c>
      <c r="N2" s="3">
        <v>1</v>
      </c>
      <c r="O2" s="3">
        <v>1</v>
      </c>
      <c r="P2" s="3" t="s">
        <v>31</v>
      </c>
      <c r="Q2" s="3">
        <v>3</v>
      </c>
      <c r="R2" s="3">
        <v>1</v>
      </c>
      <c r="S2" s="3">
        <v>1</v>
      </c>
      <c r="T2" s="3" t="s">
        <v>32</v>
      </c>
      <c r="U2" s="3" t="s">
        <v>33</v>
      </c>
      <c r="V2" s="3">
        <v>1</v>
      </c>
      <c r="W2" s="3">
        <v>1</v>
      </c>
      <c r="X2" s="3" t="s">
        <v>34</v>
      </c>
      <c r="Y2" s="3" t="s">
        <v>35</v>
      </c>
      <c r="Z2" s="3">
        <v>1</v>
      </c>
      <c r="AA2" s="3">
        <v>1</v>
      </c>
    </row>
    <row r="3" spans="1:63" s="3" customFormat="1" x14ac:dyDescent="0.25">
      <c r="A3" s="3" t="str">
        <f t="shared" ref="A3:A25" si="0">"شلنگ مستقیم" &amp;" " &amp;"قطر"&amp; E3 &amp;" "&amp; "ضخامت "&amp;Q3 &amp;"لایه"&amp;" "&amp; M3 &amp;" "&amp;I3&amp;"متری"</f>
        <v>شلنگ مستقیم قطر16 ضخامت 3لایه 4 1متری</v>
      </c>
      <c r="B3" s="3">
        <v>1</v>
      </c>
      <c r="C3" s="3" t="s">
        <v>27</v>
      </c>
      <c r="D3" s="3" t="s">
        <v>28</v>
      </c>
      <c r="E3" s="3">
        <v>16</v>
      </c>
      <c r="F3" s="3">
        <v>1</v>
      </c>
      <c r="G3" s="3">
        <v>1</v>
      </c>
      <c r="H3" s="3" t="s">
        <v>29</v>
      </c>
      <c r="I3" s="3">
        <v>1</v>
      </c>
      <c r="J3" s="3">
        <v>1</v>
      </c>
      <c r="K3" s="3">
        <v>1</v>
      </c>
      <c r="L3" s="3" t="s">
        <v>30</v>
      </c>
      <c r="M3" s="3">
        <v>4</v>
      </c>
      <c r="N3" s="3">
        <v>1</v>
      </c>
      <c r="O3" s="3">
        <v>1</v>
      </c>
      <c r="P3" s="3" t="s">
        <v>31</v>
      </c>
      <c r="Q3" s="3">
        <v>3</v>
      </c>
      <c r="R3" s="3">
        <v>1</v>
      </c>
      <c r="S3" s="3">
        <v>1</v>
      </c>
      <c r="T3" s="3" t="s">
        <v>32</v>
      </c>
      <c r="U3" s="3" t="s">
        <v>33</v>
      </c>
      <c r="V3" s="3">
        <v>1</v>
      </c>
      <c r="W3" s="3">
        <v>1</v>
      </c>
      <c r="X3" s="3" t="s">
        <v>34</v>
      </c>
      <c r="Y3" s="3" t="s">
        <v>35</v>
      </c>
      <c r="Z3" s="3">
        <v>1</v>
      </c>
      <c r="AA3" s="3">
        <v>1</v>
      </c>
    </row>
    <row r="4" spans="1:63" s="3" customFormat="1" x14ac:dyDescent="0.25">
      <c r="A4" s="3" t="str">
        <f t="shared" si="0"/>
        <v>شلنگ مستقیم قطر18 ضخامت 3لایه 4 1متری</v>
      </c>
      <c r="B4" s="3">
        <v>1</v>
      </c>
      <c r="C4" s="3" t="s">
        <v>27</v>
      </c>
      <c r="D4" s="3" t="s">
        <v>28</v>
      </c>
      <c r="E4" s="3">
        <v>18</v>
      </c>
      <c r="F4" s="3">
        <v>1</v>
      </c>
      <c r="G4" s="3">
        <v>1</v>
      </c>
      <c r="H4" s="3" t="s">
        <v>29</v>
      </c>
      <c r="I4" s="3">
        <v>1</v>
      </c>
      <c r="J4" s="3">
        <v>1</v>
      </c>
      <c r="K4" s="3">
        <v>1</v>
      </c>
      <c r="L4" s="3" t="s">
        <v>30</v>
      </c>
      <c r="M4" s="3">
        <v>4</v>
      </c>
      <c r="N4" s="3">
        <v>1</v>
      </c>
      <c r="O4" s="3">
        <v>1</v>
      </c>
      <c r="P4" s="3" t="s">
        <v>31</v>
      </c>
      <c r="Q4" s="3">
        <v>3</v>
      </c>
      <c r="R4" s="3">
        <v>1</v>
      </c>
      <c r="S4" s="3">
        <v>1</v>
      </c>
      <c r="T4" s="3" t="s">
        <v>32</v>
      </c>
      <c r="U4" s="3" t="s">
        <v>33</v>
      </c>
      <c r="V4" s="3">
        <v>1</v>
      </c>
      <c r="W4" s="3">
        <v>1</v>
      </c>
      <c r="X4" s="3" t="s">
        <v>34</v>
      </c>
      <c r="Y4" s="3" t="s">
        <v>35</v>
      </c>
      <c r="Z4" s="3">
        <v>1</v>
      </c>
      <c r="AA4" s="3">
        <v>1</v>
      </c>
    </row>
    <row r="5" spans="1:63" s="3" customFormat="1" x14ac:dyDescent="0.25">
      <c r="A5" s="3" t="str">
        <f t="shared" si="0"/>
        <v>شلنگ مستقیم قطر20 ضخامت 3لایه 4 1متری</v>
      </c>
      <c r="B5" s="3">
        <v>1</v>
      </c>
      <c r="C5" s="3" t="s">
        <v>27</v>
      </c>
      <c r="D5" s="3" t="s">
        <v>28</v>
      </c>
      <c r="E5" s="3">
        <v>20</v>
      </c>
      <c r="F5" s="3">
        <v>1</v>
      </c>
      <c r="G5" s="3">
        <v>1</v>
      </c>
      <c r="H5" s="3" t="s">
        <v>29</v>
      </c>
      <c r="I5" s="3">
        <v>1</v>
      </c>
      <c r="J5" s="3">
        <v>1</v>
      </c>
      <c r="K5" s="3">
        <v>1</v>
      </c>
      <c r="L5" s="3" t="s">
        <v>30</v>
      </c>
      <c r="M5" s="3">
        <v>4</v>
      </c>
      <c r="N5" s="3">
        <v>1</v>
      </c>
      <c r="O5" s="3">
        <v>1</v>
      </c>
      <c r="P5" s="3" t="s">
        <v>31</v>
      </c>
      <c r="Q5" s="3">
        <v>3</v>
      </c>
      <c r="R5" s="3">
        <v>1</v>
      </c>
      <c r="S5" s="3">
        <v>1</v>
      </c>
      <c r="T5" s="3" t="s">
        <v>32</v>
      </c>
      <c r="U5" s="3" t="s">
        <v>33</v>
      </c>
      <c r="V5" s="3">
        <v>1</v>
      </c>
      <c r="W5" s="3">
        <v>1</v>
      </c>
      <c r="X5" s="3" t="s">
        <v>34</v>
      </c>
      <c r="Y5" s="3" t="s">
        <v>35</v>
      </c>
      <c r="Z5" s="3">
        <v>1</v>
      </c>
      <c r="AA5" s="3">
        <v>1</v>
      </c>
    </row>
    <row r="6" spans="1:63" s="3" customFormat="1" x14ac:dyDescent="0.25">
      <c r="A6" s="3" t="str">
        <f t="shared" si="0"/>
        <v>شلنگ مستقیم قطر22 ضخامت 3لایه 4 1متری</v>
      </c>
      <c r="B6" s="3">
        <v>1</v>
      </c>
      <c r="C6" s="3" t="s">
        <v>27</v>
      </c>
      <c r="D6" s="3" t="s">
        <v>28</v>
      </c>
      <c r="E6" s="3">
        <v>22</v>
      </c>
      <c r="F6" s="3">
        <v>1</v>
      </c>
      <c r="G6" s="3">
        <v>1</v>
      </c>
      <c r="H6" s="3" t="s">
        <v>29</v>
      </c>
      <c r="I6" s="3">
        <v>1</v>
      </c>
      <c r="J6" s="3">
        <v>1</v>
      </c>
      <c r="K6" s="3">
        <v>1</v>
      </c>
      <c r="L6" s="3" t="s">
        <v>30</v>
      </c>
      <c r="M6" s="3">
        <v>4</v>
      </c>
      <c r="N6" s="3">
        <v>1</v>
      </c>
      <c r="O6" s="3">
        <v>1</v>
      </c>
      <c r="P6" s="3" t="s">
        <v>31</v>
      </c>
      <c r="Q6" s="3">
        <v>3</v>
      </c>
      <c r="R6" s="3">
        <v>1</v>
      </c>
      <c r="S6" s="3">
        <v>1</v>
      </c>
      <c r="T6" s="3" t="s">
        <v>32</v>
      </c>
      <c r="U6" s="3" t="s">
        <v>33</v>
      </c>
      <c r="V6" s="3">
        <v>1</v>
      </c>
      <c r="W6" s="3">
        <v>1</v>
      </c>
      <c r="X6" s="3" t="s">
        <v>34</v>
      </c>
      <c r="Y6" s="3" t="s">
        <v>35</v>
      </c>
      <c r="Z6" s="3">
        <v>1</v>
      </c>
      <c r="AA6" s="3">
        <v>1</v>
      </c>
    </row>
    <row r="7" spans="1:63" s="3" customFormat="1" x14ac:dyDescent="0.25">
      <c r="A7" s="3" t="str">
        <f t="shared" si="0"/>
        <v>شلنگ مستقیم قطر25 ضخامت 3لایه 4 1متری</v>
      </c>
      <c r="B7" s="3">
        <v>1</v>
      </c>
      <c r="C7" s="3" t="s">
        <v>27</v>
      </c>
      <c r="D7" s="3" t="s">
        <v>28</v>
      </c>
      <c r="E7" s="3">
        <v>25</v>
      </c>
      <c r="F7" s="3">
        <v>1</v>
      </c>
      <c r="G7" s="3">
        <v>1</v>
      </c>
      <c r="H7" s="3" t="s">
        <v>29</v>
      </c>
      <c r="I7" s="3">
        <v>1</v>
      </c>
      <c r="J7" s="3">
        <v>1</v>
      </c>
      <c r="K7" s="3">
        <v>1</v>
      </c>
      <c r="L7" s="3" t="s">
        <v>30</v>
      </c>
      <c r="M7" s="3">
        <v>4</v>
      </c>
      <c r="N7" s="3">
        <v>1</v>
      </c>
      <c r="O7" s="3">
        <v>1</v>
      </c>
      <c r="P7" s="3" t="s">
        <v>31</v>
      </c>
      <c r="Q7" s="3">
        <v>3</v>
      </c>
      <c r="R7" s="3">
        <v>1</v>
      </c>
      <c r="S7" s="3">
        <v>1</v>
      </c>
      <c r="T7" s="3" t="s">
        <v>32</v>
      </c>
      <c r="U7" s="3" t="s">
        <v>33</v>
      </c>
      <c r="V7" s="3">
        <v>1</v>
      </c>
      <c r="W7" s="3">
        <v>1</v>
      </c>
      <c r="X7" s="3" t="s">
        <v>34</v>
      </c>
      <c r="Y7" s="3" t="s">
        <v>35</v>
      </c>
      <c r="Z7" s="3">
        <v>1</v>
      </c>
      <c r="AA7" s="3">
        <v>1</v>
      </c>
    </row>
    <row r="8" spans="1:63" s="3" customFormat="1" x14ac:dyDescent="0.25">
      <c r="A8" s="3" t="str">
        <f t="shared" si="0"/>
        <v>شلنگ مستقیم قطر28 ضخامت 3لایه 4 1متری</v>
      </c>
      <c r="B8" s="3">
        <v>1</v>
      </c>
      <c r="C8" s="3" t="s">
        <v>27</v>
      </c>
      <c r="D8" s="3" t="s">
        <v>28</v>
      </c>
      <c r="E8" s="3">
        <v>28</v>
      </c>
      <c r="F8" s="3">
        <v>1</v>
      </c>
      <c r="G8" s="3">
        <v>1</v>
      </c>
      <c r="H8" s="3" t="s">
        <v>29</v>
      </c>
      <c r="I8" s="3">
        <v>1</v>
      </c>
      <c r="J8" s="3">
        <v>1</v>
      </c>
      <c r="K8" s="3">
        <v>1</v>
      </c>
      <c r="L8" s="3" t="s">
        <v>30</v>
      </c>
      <c r="M8" s="3">
        <v>4</v>
      </c>
      <c r="N8" s="3">
        <v>1</v>
      </c>
      <c r="O8" s="3">
        <v>1</v>
      </c>
      <c r="P8" s="3" t="s">
        <v>31</v>
      </c>
      <c r="Q8" s="3">
        <v>3</v>
      </c>
      <c r="R8" s="3">
        <v>1</v>
      </c>
      <c r="S8" s="3">
        <v>1</v>
      </c>
      <c r="T8" s="3" t="s">
        <v>32</v>
      </c>
      <c r="U8" s="3" t="s">
        <v>33</v>
      </c>
      <c r="V8" s="3">
        <v>1</v>
      </c>
      <c r="W8" s="3">
        <v>1</v>
      </c>
      <c r="X8" s="3" t="s">
        <v>34</v>
      </c>
      <c r="Y8" s="3" t="s">
        <v>35</v>
      </c>
      <c r="Z8" s="3">
        <v>1</v>
      </c>
      <c r="AA8" s="3">
        <v>1</v>
      </c>
    </row>
    <row r="9" spans="1:63" s="3" customFormat="1" x14ac:dyDescent="0.25">
      <c r="A9" s="3" t="str">
        <f t="shared" si="0"/>
        <v>شلنگ مستقیم قطر32 ضخامت 3لایه 4 1متری</v>
      </c>
      <c r="B9" s="3">
        <v>1</v>
      </c>
      <c r="C9" s="3" t="s">
        <v>27</v>
      </c>
      <c r="D9" s="3" t="s">
        <v>28</v>
      </c>
      <c r="E9" s="3">
        <v>32</v>
      </c>
      <c r="F9" s="3">
        <v>1</v>
      </c>
      <c r="G9" s="3">
        <v>1</v>
      </c>
      <c r="H9" s="3" t="s">
        <v>29</v>
      </c>
      <c r="I9" s="3">
        <v>1</v>
      </c>
      <c r="J9" s="3">
        <v>1</v>
      </c>
      <c r="K9" s="3">
        <v>1</v>
      </c>
      <c r="L9" s="3" t="s">
        <v>30</v>
      </c>
      <c r="M9" s="3">
        <v>4</v>
      </c>
      <c r="N9" s="3">
        <v>1</v>
      </c>
      <c r="O9" s="3">
        <v>1</v>
      </c>
      <c r="P9" s="3" t="s">
        <v>31</v>
      </c>
      <c r="Q9" s="3">
        <v>3</v>
      </c>
      <c r="R9" s="3">
        <v>1</v>
      </c>
      <c r="S9" s="3">
        <v>1</v>
      </c>
      <c r="T9" s="3" t="s">
        <v>32</v>
      </c>
      <c r="U9" s="3" t="s">
        <v>33</v>
      </c>
      <c r="V9" s="3">
        <v>1</v>
      </c>
      <c r="W9" s="3">
        <v>1</v>
      </c>
      <c r="X9" s="3" t="s">
        <v>34</v>
      </c>
      <c r="Y9" s="3" t="s">
        <v>35</v>
      </c>
      <c r="Z9" s="3">
        <v>1</v>
      </c>
      <c r="AA9" s="3">
        <v>1</v>
      </c>
    </row>
    <row r="10" spans="1:63" s="3" customFormat="1" x14ac:dyDescent="0.25">
      <c r="A10" s="3" t="str">
        <f t="shared" si="0"/>
        <v>شلنگ مستقیم قطر35 ضخامت 3لایه 4 1متری</v>
      </c>
      <c r="B10" s="3">
        <v>1</v>
      </c>
      <c r="C10" s="3" t="s">
        <v>27</v>
      </c>
      <c r="D10" s="3" t="s">
        <v>28</v>
      </c>
      <c r="E10" s="3">
        <v>35</v>
      </c>
      <c r="F10" s="3">
        <v>1</v>
      </c>
      <c r="G10" s="3">
        <v>1</v>
      </c>
      <c r="H10" s="3" t="s">
        <v>29</v>
      </c>
      <c r="I10" s="3">
        <v>1</v>
      </c>
      <c r="J10" s="3">
        <v>1</v>
      </c>
      <c r="K10" s="3">
        <v>1</v>
      </c>
      <c r="L10" s="3" t="s">
        <v>30</v>
      </c>
      <c r="M10" s="3">
        <v>4</v>
      </c>
      <c r="N10" s="3">
        <v>1</v>
      </c>
      <c r="O10" s="3">
        <v>1</v>
      </c>
      <c r="P10" s="3" t="s">
        <v>31</v>
      </c>
      <c r="Q10" s="3">
        <v>3</v>
      </c>
      <c r="R10" s="3">
        <v>1</v>
      </c>
      <c r="S10" s="3">
        <v>1</v>
      </c>
      <c r="T10" s="3" t="s">
        <v>32</v>
      </c>
      <c r="U10" s="3" t="s">
        <v>33</v>
      </c>
      <c r="V10" s="3">
        <v>1</v>
      </c>
      <c r="W10" s="3">
        <v>1</v>
      </c>
      <c r="X10" s="3" t="s">
        <v>34</v>
      </c>
      <c r="Y10" s="3" t="s">
        <v>35</v>
      </c>
      <c r="Z10" s="3">
        <v>1</v>
      </c>
      <c r="AA10" s="3">
        <v>1</v>
      </c>
    </row>
    <row r="11" spans="1:63" s="3" customFormat="1" x14ac:dyDescent="0.25">
      <c r="A11" s="3" t="str">
        <f t="shared" si="0"/>
        <v>شلنگ مستقیم قطر38 ضخامت 3لایه 4 1متری</v>
      </c>
      <c r="B11" s="3">
        <v>1</v>
      </c>
      <c r="C11" s="3" t="s">
        <v>27</v>
      </c>
      <c r="D11" s="3" t="s">
        <v>28</v>
      </c>
      <c r="E11" s="3">
        <v>38</v>
      </c>
      <c r="F11" s="3">
        <v>1</v>
      </c>
      <c r="G11" s="3">
        <v>1</v>
      </c>
      <c r="H11" s="3" t="s">
        <v>29</v>
      </c>
      <c r="I11" s="3">
        <v>1</v>
      </c>
      <c r="J11" s="3">
        <v>1</v>
      </c>
      <c r="K11" s="3">
        <v>1</v>
      </c>
      <c r="L11" s="3" t="s">
        <v>30</v>
      </c>
      <c r="M11" s="3">
        <v>4</v>
      </c>
      <c r="N11" s="3">
        <v>1</v>
      </c>
      <c r="O11" s="3">
        <v>1</v>
      </c>
      <c r="P11" s="3" t="s">
        <v>31</v>
      </c>
      <c r="Q11" s="3">
        <v>3</v>
      </c>
      <c r="R11" s="3">
        <v>1</v>
      </c>
      <c r="S11" s="3">
        <v>1</v>
      </c>
      <c r="T11" s="3" t="s">
        <v>32</v>
      </c>
      <c r="U11" s="3" t="s">
        <v>33</v>
      </c>
      <c r="V11" s="3">
        <v>1</v>
      </c>
      <c r="W11" s="3">
        <v>1</v>
      </c>
      <c r="X11" s="3" t="s">
        <v>34</v>
      </c>
      <c r="Y11" s="3" t="s">
        <v>35</v>
      </c>
      <c r="Z11" s="3">
        <v>1</v>
      </c>
      <c r="AA11" s="3">
        <v>1</v>
      </c>
    </row>
    <row r="12" spans="1:63" s="3" customFormat="1" x14ac:dyDescent="0.25">
      <c r="A12" s="3" t="str">
        <f t="shared" si="0"/>
        <v>شلنگ مستقیم قطر41 ضخامت 3لایه 4 1متری</v>
      </c>
      <c r="B12" s="3">
        <v>1</v>
      </c>
      <c r="C12" s="3" t="s">
        <v>27</v>
      </c>
      <c r="D12" s="3" t="s">
        <v>28</v>
      </c>
      <c r="E12" s="3">
        <v>41</v>
      </c>
      <c r="F12" s="3">
        <v>1</v>
      </c>
      <c r="G12" s="3">
        <v>1</v>
      </c>
      <c r="H12" s="3" t="s">
        <v>29</v>
      </c>
      <c r="I12" s="3">
        <v>1</v>
      </c>
      <c r="J12" s="3">
        <v>1</v>
      </c>
      <c r="K12" s="3">
        <v>1</v>
      </c>
      <c r="L12" s="3" t="s">
        <v>30</v>
      </c>
      <c r="M12" s="3">
        <v>4</v>
      </c>
      <c r="N12" s="3">
        <v>1</v>
      </c>
      <c r="O12" s="3">
        <v>1</v>
      </c>
      <c r="P12" s="3" t="s">
        <v>31</v>
      </c>
      <c r="Q12" s="3">
        <v>3</v>
      </c>
      <c r="R12" s="3">
        <v>1</v>
      </c>
      <c r="S12" s="3">
        <v>1</v>
      </c>
      <c r="T12" s="3" t="s">
        <v>32</v>
      </c>
      <c r="U12" s="3" t="s">
        <v>33</v>
      </c>
      <c r="V12" s="3">
        <v>1</v>
      </c>
      <c r="W12" s="3">
        <v>1</v>
      </c>
      <c r="X12" s="3" t="s">
        <v>34</v>
      </c>
      <c r="Y12" s="3" t="s">
        <v>35</v>
      </c>
      <c r="Z12" s="3">
        <v>1</v>
      </c>
      <c r="AA12" s="3">
        <v>1</v>
      </c>
    </row>
    <row r="13" spans="1:63" s="3" customFormat="1" x14ac:dyDescent="0.25">
      <c r="A13" s="3" t="str">
        <f t="shared" si="0"/>
        <v>شلنگ مستقیم قطر45 ضخامت 3لایه 4 1متری</v>
      </c>
      <c r="B13" s="3">
        <v>1</v>
      </c>
      <c r="C13" s="3" t="s">
        <v>27</v>
      </c>
      <c r="D13" s="3" t="s">
        <v>28</v>
      </c>
      <c r="E13" s="3">
        <v>45</v>
      </c>
      <c r="F13" s="3">
        <v>1</v>
      </c>
      <c r="G13" s="3">
        <v>1</v>
      </c>
      <c r="H13" s="3" t="s">
        <v>29</v>
      </c>
      <c r="I13" s="3">
        <v>1</v>
      </c>
      <c r="J13" s="3">
        <v>1</v>
      </c>
      <c r="K13" s="3">
        <v>1</v>
      </c>
      <c r="L13" s="3" t="s">
        <v>30</v>
      </c>
      <c r="M13" s="3">
        <v>4</v>
      </c>
      <c r="N13" s="3">
        <v>1</v>
      </c>
      <c r="O13" s="3">
        <v>1</v>
      </c>
      <c r="P13" s="3" t="s">
        <v>31</v>
      </c>
      <c r="Q13" s="3">
        <v>3</v>
      </c>
      <c r="R13" s="3">
        <v>1</v>
      </c>
      <c r="S13" s="3">
        <v>1</v>
      </c>
      <c r="T13" s="3" t="s">
        <v>32</v>
      </c>
      <c r="U13" s="3" t="s">
        <v>33</v>
      </c>
      <c r="V13" s="3">
        <v>1</v>
      </c>
      <c r="W13" s="3">
        <v>1</v>
      </c>
      <c r="X13" s="3" t="s">
        <v>34</v>
      </c>
      <c r="Y13" s="3" t="s">
        <v>35</v>
      </c>
      <c r="Z13" s="3">
        <v>1</v>
      </c>
      <c r="AA13" s="3">
        <v>1</v>
      </c>
    </row>
    <row r="14" spans="1:63" s="3" customFormat="1" x14ac:dyDescent="0.25">
      <c r="A14" s="3" t="str">
        <f t="shared" si="0"/>
        <v>شلنگ مستقیم قطر54 ضخامت 4لایه 5 1متری</v>
      </c>
      <c r="B14" s="3">
        <v>1</v>
      </c>
      <c r="C14" s="3" t="s">
        <v>27</v>
      </c>
      <c r="D14" s="3" t="s">
        <v>28</v>
      </c>
      <c r="E14" s="3">
        <v>54</v>
      </c>
      <c r="F14" s="3">
        <v>1</v>
      </c>
      <c r="G14" s="3">
        <v>1</v>
      </c>
      <c r="H14" s="3" t="s">
        <v>29</v>
      </c>
      <c r="I14" s="3">
        <v>1</v>
      </c>
      <c r="J14" s="3">
        <v>1</v>
      </c>
      <c r="K14" s="3">
        <v>1</v>
      </c>
      <c r="L14" s="3" t="s">
        <v>30</v>
      </c>
      <c r="M14" s="3">
        <v>5</v>
      </c>
      <c r="N14" s="3">
        <v>1</v>
      </c>
      <c r="O14" s="3">
        <v>1</v>
      </c>
      <c r="P14" s="3" t="s">
        <v>31</v>
      </c>
      <c r="Q14" s="3">
        <v>4</v>
      </c>
      <c r="R14" s="3">
        <v>1</v>
      </c>
      <c r="S14" s="3">
        <v>1</v>
      </c>
      <c r="T14" s="3" t="s">
        <v>32</v>
      </c>
      <c r="U14" s="3" t="s">
        <v>33</v>
      </c>
      <c r="V14" s="3">
        <v>1</v>
      </c>
      <c r="W14" s="3">
        <v>1</v>
      </c>
      <c r="X14" s="3" t="s">
        <v>34</v>
      </c>
      <c r="Y14" s="3" t="s">
        <v>35</v>
      </c>
      <c r="Z14" s="3">
        <v>1</v>
      </c>
      <c r="AA14" s="3">
        <v>1</v>
      </c>
    </row>
    <row r="15" spans="1:63" s="3" customFormat="1" x14ac:dyDescent="0.25">
      <c r="A15" s="3" t="str">
        <f t="shared" si="0"/>
        <v>شلنگ مستقیم قطر51 ضخامت 4لایه 5 1متری</v>
      </c>
      <c r="B15" s="3">
        <v>1</v>
      </c>
      <c r="C15" s="3" t="s">
        <v>27</v>
      </c>
      <c r="D15" s="3" t="s">
        <v>28</v>
      </c>
      <c r="E15" s="3">
        <v>51</v>
      </c>
      <c r="F15" s="3">
        <v>1</v>
      </c>
      <c r="G15" s="3">
        <v>1</v>
      </c>
      <c r="H15" s="3" t="s">
        <v>29</v>
      </c>
      <c r="I15" s="3">
        <v>1</v>
      </c>
      <c r="J15" s="3">
        <v>1</v>
      </c>
      <c r="K15" s="3">
        <v>1</v>
      </c>
      <c r="L15" s="3" t="s">
        <v>30</v>
      </c>
      <c r="M15" s="3">
        <v>5</v>
      </c>
      <c r="N15" s="3">
        <v>1</v>
      </c>
      <c r="O15" s="3">
        <v>1</v>
      </c>
      <c r="P15" s="3" t="s">
        <v>31</v>
      </c>
      <c r="Q15" s="3">
        <v>4</v>
      </c>
      <c r="R15" s="3">
        <v>1</v>
      </c>
      <c r="S15" s="3">
        <v>1</v>
      </c>
      <c r="T15" s="3" t="s">
        <v>32</v>
      </c>
      <c r="U15" s="3" t="s">
        <v>33</v>
      </c>
      <c r="V15" s="3">
        <v>1</v>
      </c>
      <c r="W15" s="3">
        <v>1</v>
      </c>
      <c r="X15" s="3" t="s">
        <v>34</v>
      </c>
      <c r="Y15" s="3" t="s">
        <v>35</v>
      </c>
      <c r="Z15" s="3">
        <v>1</v>
      </c>
      <c r="AA15" s="3">
        <v>1</v>
      </c>
    </row>
    <row r="16" spans="1:63" s="3" customFormat="1" x14ac:dyDescent="0.25">
      <c r="A16" s="3" t="str">
        <f t="shared" si="0"/>
        <v>شلنگ مستقیم قطر57 ضخامت 4لایه 5 1متری</v>
      </c>
      <c r="B16" s="3">
        <v>1</v>
      </c>
      <c r="C16" s="3" t="s">
        <v>27</v>
      </c>
      <c r="D16" s="3" t="s">
        <v>28</v>
      </c>
      <c r="E16" s="3">
        <v>57</v>
      </c>
      <c r="F16" s="3">
        <v>1</v>
      </c>
      <c r="G16" s="3">
        <v>1</v>
      </c>
      <c r="H16" s="3" t="s">
        <v>29</v>
      </c>
      <c r="I16" s="3">
        <v>1</v>
      </c>
      <c r="J16" s="3">
        <v>1</v>
      </c>
      <c r="K16" s="3">
        <v>1</v>
      </c>
      <c r="L16" s="3" t="s">
        <v>30</v>
      </c>
      <c r="M16" s="3">
        <v>5</v>
      </c>
      <c r="N16" s="3">
        <v>1</v>
      </c>
      <c r="O16" s="3">
        <v>1</v>
      </c>
      <c r="P16" s="3" t="s">
        <v>31</v>
      </c>
      <c r="Q16" s="3">
        <v>4</v>
      </c>
      <c r="R16" s="3">
        <v>1</v>
      </c>
      <c r="S16" s="3">
        <v>1</v>
      </c>
      <c r="T16" s="3" t="s">
        <v>32</v>
      </c>
      <c r="U16" s="3" t="s">
        <v>33</v>
      </c>
      <c r="V16" s="3">
        <v>1</v>
      </c>
      <c r="W16" s="3">
        <v>1</v>
      </c>
      <c r="X16" s="3" t="s">
        <v>34</v>
      </c>
      <c r="Y16" s="3" t="s">
        <v>35</v>
      </c>
      <c r="Z16" s="3">
        <v>1</v>
      </c>
      <c r="AA16" s="3">
        <v>1</v>
      </c>
    </row>
    <row r="17" spans="1:31" s="3" customFormat="1" x14ac:dyDescent="0.25">
      <c r="A17" s="3" t="str">
        <f t="shared" si="0"/>
        <v>شلنگ مستقیم قطر60 ضخامت 4لایه 5 1متری</v>
      </c>
      <c r="B17" s="3">
        <v>1</v>
      </c>
      <c r="C17" s="3" t="s">
        <v>27</v>
      </c>
      <c r="D17" s="3" t="s">
        <v>28</v>
      </c>
      <c r="E17" s="3">
        <v>60</v>
      </c>
      <c r="F17" s="3">
        <v>1</v>
      </c>
      <c r="G17" s="3">
        <v>1</v>
      </c>
      <c r="H17" s="3" t="s">
        <v>29</v>
      </c>
      <c r="I17" s="3">
        <v>1</v>
      </c>
      <c r="J17" s="3">
        <v>1</v>
      </c>
      <c r="K17" s="3">
        <v>1</v>
      </c>
      <c r="L17" s="3" t="s">
        <v>30</v>
      </c>
      <c r="M17" s="3">
        <v>5</v>
      </c>
      <c r="N17" s="3">
        <v>1</v>
      </c>
      <c r="O17" s="3">
        <v>1</v>
      </c>
      <c r="P17" s="3" t="s">
        <v>31</v>
      </c>
      <c r="Q17" s="3">
        <v>4</v>
      </c>
      <c r="R17" s="3">
        <v>1</v>
      </c>
      <c r="S17" s="3">
        <v>1</v>
      </c>
      <c r="T17" s="3" t="s">
        <v>32</v>
      </c>
      <c r="U17" s="3" t="s">
        <v>33</v>
      </c>
      <c r="V17" s="3">
        <v>1</v>
      </c>
      <c r="W17" s="3">
        <v>1</v>
      </c>
      <c r="X17" s="3" t="s">
        <v>34</v>
      </c>
      <c r="Y17" s="3" t="s">
        <v>35</v>
      </c>
      <c r="Z17" s="3">
        <v>1</v>
      </c>
      <c r="AA17" s="3">
        <v>1</v>
      </c>
    </row>
    <row r="18" spans="1:31" s="3" customFormat="1" x14ac:dyDescent="0.25">
      <c r="A18" s="3" t="str">
        <f t="shared" si="0"/>
        <v>شلنگ مستقیم قطر63 ضخامت 4لایه 5 1متری</v>
      </c>
      <c r="B18" s="3">
        <v>1</v>
      </c>
      <c r="C18" s="3" t="s">
        <v>27</v>
      </c>
      <c r="D18" s="3" t="s">
        <v>28</v>
      </c>
      <c r="E18" s="3">
        <v>63</v>
      </c>
      <c r="F18" s="3">
        <v>1</v>
      </c>
      <c r="G18" s="3">
        <v>1</v>
      </c>
      <c r="H18" s="3" t="s">
        <v>29</v>
      </c>
      <c r="I18" s="3">
        <v>1</v>
      </c>
      <c r="J18" s="3">
        <v>1</v>
      </c>
      <c r="K18" s="3">
        <v>1</v>
      </c>
      <c r="L18" s="3" t="s">
        <v>30</v>
      </c>
      <c r="M18" s="3">
        <v>5</v>
      </c>
      <c r="N18" s="3">
        <v>1</v>
      </c>
      <c r="O18" s="3">
        <v>1</v>
      </c>
      <c r="P18" s="3" t="s">
        <v>31</v>
      </c>
      <c r="Q18" s="3">
        <v>4</v>
      </c>
      <c r="R18" s="3">
        <v>1</v>
      </c>
      <c r="S18" s="3">
        <v>1</v>
      </c>
      <c r="T18" s="3" t="s">
        <v>32</v>
      </c>
      <c r="U18" s="3" t="s">
        <v>33</v>
      </c>
      <c r="V18" s="3">
        <v>1</v>
      </c>
      <c r="W18" s="3">
        <v>1</v>
      </c>
      <c r="X18" s="3" t="s">
        <v>34</v>
      </c>
      <c r="Y18" s="3" t="s">
        <v>35</v>
      </c>
      <c r="Z18" s="3">
        <v>1</v>
      </c>
      <c r="AA18" s="3">
        <v>1</v>
      </c>
    </row>
    <row r="19" spans="1:31" s="3" customFormat="1" x14ac:dyDescent="0.25">
      <c r="A19" s="3" t="str">
        <f t="shared" si="0"/>
        <v>شلنگ مستقیم قطر65 ضخامت 4لایه 5 1متری</v>
      </c>
      <c r="B19" s="3">
        <v>1</v>
      </c>
      <c r="C19" s="3" t="s">
        <v>27</v>
      </c>
      <c r="D19" s="3" t="s">
        <v>28</v>
      </c>
      <c r="E19" s="3">
        <v>65</v>
      </c>
      <c r="F19" s="3">
        <v>1</v>
      </c>
      <c r="G19" s="3">
        <v>1</v>
      </c>
      <c r="H19" s="3" t="s">
        <v>29</v>
      </c>
      <c r="I19" s="3">
        <v>1</v>
      </c>
      <c r="J19" s="3">
        <v>1</v>
      </c>
      <c r="K19" s="3">
        <v>1</v>
      </c>
      <c r="L19" s="3" t="s">
        <v>30</v>
      </c>
      <c r="M19" s="3">
        <v>5</v>
      </c>
      <c r="N19" s="3">
        <v>1</v>
      </c>
      <c r="O19" s="3">
        <v>1</v>
      </c>
      <c r="P19" s="3" t="s">
        <v>31</v>
      </c>
      <c r="Q19" s="3">
        <v>4</v>
      </c>
      <c r="R19" s="3">
        <v>1</v>
      </c>
      <c r="S19" s="3">
        <v>1</v>
      </c>
      <c r="T19" s="3" t="s">
        <v>32</v>
      </c>
      <c r="U19" s="3" t="s">
        <v>33</v>
      </c>
      <c r="V19" s="3">
        <v>1</v>
      </c>
      <c r="W19" s="3">
        <v>1</v>
      </c>
      <c r="X19" s="3" t="s">
        <v>34</v>
      </c>
      <c r="Y19" s="3" t="s">
        <v>35</v>
      </c>
      <c r="Z19" s="3">
        <v>1</v>
      </c>
      <c r="AA19" s="3">
        <v>1</v>
      </c>
    </row>
    <row r="20" spans="1:31" s="3" customFormat="1" x14ac:dyDescent="0.25">
      <c r="A20" s="3" t="str">
        <f t="shared" si="0"/>
        <v>شلنگ مستقیم قطر70 ضخامت 4لایه 5 1متری</v>
      </c>
      <c r="B20" s="3">
        <v>1</v>
      </c>
      <c r="C20" s="3" t="s">
        <v>27</v>
      </c>
      <c r="D20" s="3" t="s">
        <v>28</v>
      </c>
      <c r="E20" s="3">
        <v>70</v>
      </c>
      <c r="F20" s="3">
        <v>1</v>
      </c>
      <c r="G20" s="3">
        <v>1</v>
      </c>
      <c r="H20" s="3" t="s">
        <v>29</v>
      </c>
      <c r="I20" s="3">
        <v>1</v>
      </c>
      <c r="J20" s="3">
        <v>1</v>
      </c>
      <c r="K20" s="3">
        <v>1</v>
      </c>
      <c r="L20" s="3" t="s">
        <v>30</v>
      </c>
      <c r="M20" s="3">
        <v>5</v>
      </c>
      <c r="N20" s="3">
        <v>1</v>
      </c>
      <c r="O20" s="3">
        <v>1</v>
      </c>
      <c r="P20" s="3" t="s">
        <v>31</v>
      </c>
      <c r="Q20" s="3">
        <v>4</v>
      </c>
      <c r="R20" s="3">
        <v>1</v>
      </c>
      <c r="S20" s="3">
        <v>1</v>
      </c>
      <c r="T20" s="3" t="s">
        <v>32</v>
      </c>
      <c r="U20" s="3" t="s">
        <v>33</v>
      </c>
      <c r="V20" s="3">
        <v>1</v>
      </c>
      <c r="W20" s="3">
        <v>1</v>
      </c>
      <c r="X20" s="3" t="s">
        <v>34</v>
      </c>
      <c r="Y20" s="3" t="s">
        <v>35</v>
      </c>
      <c r="Z20" s="3">
        <v>1</v>
      </c>
      <c r="AA20" s="3">
        <v>1</v>
      </c>
    </row>
    <row r="21" spans="1:31" s="3" customFormat="1" x14ac:dyDescent="0.25">
      <c r="A21" s="3" t="str">
        <f t="shared" si="0"/>
        <v>شلنگ مستقیم قطر76 ضخامت 4لایه 5 1متری</v>
      </c>
      <c r="B21" s="3">
        <v>1</v>
      </c>
      <c r="C21" s="3" t="s">
        <v>27</v>
      </c>
      <c r="D21" s="3" t="s">
        <v>28</v>
      </c>
      <c r="E21" s="3">
        <v>76</v>
      </c>
      <c r="F21" s="3">
        <v>1</v>
      </c>
      <c r="G21" s="3">
        <v>1</v>
      </c>
      <c r="H21" s="3" t="s">
        <v>29</v>
      </c>
      <c r="I21" s="3">
        <v>1</v>
      </c>
      <c r="J21" s="3">
        <v>1</v>
      </c>
      <c r="K21" s="3">
        <v>1</v>
      </c>
      <c r="L21" s="3" t="s">
        <v>30</v>
      </c>
      <c r="M21" s="3">
        <v>5</v>
      </c>
      <c r="N21" s="3">
        <v>1</v>
      </c>
      <c r="O21" s="3">
        <v>1</v>
      </c>
      <c r="P21" s="3" t="s">
        <v>31</v>
      </c>
      <c r="Q21" s="3">
        <v>4</v>
      </c>
      <c r="R21" s="3">
        <v>1</v>
      </c>
      <c r="S21" s="3">
        <v>1</v>
      </c>
      <c r="T21" s="3" t="s">
        <v>32</v>
      </c>
      <c r="U21" s="3" t="s">
        <v>33</v>
      </c>
      <c r="V21" s="3">
        <v>1</v>
      </c>
      <c r="W21" s="3">
        <v>1</v>
      </c>
      <c r="X21" s="3" t="s">
        <v>34</v>
      </c>
      <c r="Y21" s="3" t="s">
        <v>35</v>
      </c>
      <c r="Z21" s="3">
        <v>1</v>
      </c>
      <c r="AA21" s="3">
        <v>1</v>
      </c>
    </row>
    <row r="22" spans="1:31" s="3" customFormat="1" x14ac:dyDescent="0.25">
      <c r="A22" s="3" t="str">
        <f t="shared" si="0"/>
        <v>شلنگ مستقیم قطر80 ضخامت 4لایه 5 1متری</v>
      </c>
      <c r="B22" s="3">
        <v>1</v>
      </c>
      <c r="C22" s="3" t="s">
        <v>27</v>
      </c>
      <c r="D22" s="3" t="s">
        <v>28</v>
      </c>
      <c r="E22" s="3">
        <v>80</v>
      </c>
      <c r="F22" s="3">
        <v>1</v>
      </c>
      <c r="G22" s="3">
        <v>1</v>
      </c>
      <c r="H22" s="3" t="s">
        <v>29</v>
      </c>
      <c r="I22" s="3">
        <v>1</v>
      </c>
      <c r="J22" s="3">
        <v>1</v>
      </c>
      <c r="K22" s="3">
        <v>1</v>
      </c>
      <c r="L22" s="3" t="s">
        <v>30</v>
      </c>
      <c r="M22" s="3">
        <v>5</v>
      </c>
      <c r="N22" s="3">
        <v>1</v>
      </c>
      <c r="O22" s="3">
        <v>1</v>
      </c>
      <c r="P22" s="3" t="s">
        <v>31</v>
      </c>
      <c r="Q22" s="3">
        <v>4</v>
      </c>
      <c r="R22" s="3">
        <v>1</v>
      </c>
      <c r="S22" s="3">
        <v>1</v>
      </c>
      <c r="T22" s="3" t="s">
        <v>32</v>
      </c>
      <c r="U22" s="3" t="s">
        <v>33</v>
      </c>
      <c r="V22" s="3">
        <v>1</v>
      </c>
      <c r="W22" s="3">
        <v>1</v>
      </c>
      <c r="X22" s="3" t="s">
        <v>34</v>
      </c>
      <c r="Y22" s="3" t="s">
        <v>35</v>
      </c>
      <c r="Z22" s="3">
        <v>1</v>
      </c>
      <c r="AA22" s="3">
        <v>1</v>
      </c>
    </row>
    <row r="23" spans="1:31" s="3" customFormat="1" x14ac:dyDescent="0.25">
      <c r="A23" s="3" t="str">
        <f t="shared" si="0"/>
        <v>شلنگ مستقیم قطر89 ضخامت 5لایه 6 1متری</v>
      </c>
      <c r="B23" s="3">
        <v>1</v>
      </c>
      <c r="C23" s="3" t="s">
        <v>27</v>
      </c>
      <c r="D23" s="3" t="s">
        <v>28</v>
      </c>
      <c r="E23" s="3">
        <v>89</v>
      </c>
      <c r="F23" s="3">
        <v>1</v>
      </c>
      <c r="G23" s="3">
        <v>1</v>
      </c>
      <c r="H23" s="3" t="s">
        <v>29</v>
      </c>
      <c r="I23" s="3">
        <v>1</v>
      </c>
      <c r="J23" s="3">
        <v>1</v>
      </c>
      <c r="K23" s="3">
        <v>1</v>
      </c>
      <c r="L23" s="3" t="s">
        <v>30</v>
      </c>
      <c r="M23" s="3">
        <v>6</v>
      </c>
      <c r="N23" s="3">
        <v>1</v>
      </c>
      <c r="O23" s="3">
        <v>1</v>
      </c>
      <c r="P23" s="3" t="s">
        <v>31</v>
      </c>
      <c r="Q23" s="3">
        <v>5</v>
      </c>
      <c r="R23" s="3">
        <v>1</v>
      </c>
      <c r="S23" s="3">
        <v>1</v>
      </c>
      <c r="T23" s="3" t="s">
        <v>32</v>
      </c>
      <c r="U23" s="3" t="s">
        <v>33</v>
      </c>
      <c r="V23" s="3">
        <v>1</v>
      </c>
      <c r="W23" s="3">
        <v>1</v>
      </c>
      <c r="X23" s="3" t="s">
        <v>34</v>
      </c>
      <c r="Y23" s="3" t="s">
        <v>35</v>
      </c>
      <c r="Z23" s="3">
        <v>1</v>
      </c>
      <c r="AA23" s="3">
        <v>1</v>
      </c>
    </row>
    <row r="24" spans="1:31" s="3" customFormat="1" x14ac:dyDescent="0.25">
      <c r="A24" s="3" t="str">
        <f t="shared" si="0"/>
        <v>شلنگ مستقیم قطر102 ضخامت 5لایه 6 1متری</v>
      </c>
      <c r="B24" s="3">
        <v>1</v>
      </c>
      <c r="C24" s="3" t="s">
        <v>27</v>
      </c>
      <c r="D24" s="3" t="s">
        <v>28</v>
      </c>
      <c r="E24" s="3">
        <v>102</v>
      </c>
      <c r="F24" s="3">
        <v>1</v>
      </c>
      <c r="G24" s="3">
        <v>1</v>
      </c>
      <c r="H24" s="3" t="s">
        <v>29</v>
      </c>
      <c r="I24" s="3">
        <v>1</v>
      </c>
      <c r="J24" s="3">
        <v>1</v>
      </c>
      <c r="K24" s="3">
        <v>1</v>
      </c>
      <c r="L24" s="3" t="s">
        <v>30</v>
      </c>
      <c r="M24" s="3">
        <v>6</v>
      </c>
      <c r="N24" s="3">
        <v>1</v>
      </c>
      <c r="O24" s="3">
        <v>1</v>
      </c>
      <c r="P24" s="3" t="s">
        <v>31</v>
      </c>
      <c r="Q24" s="3">
        <v>5</v>
      </c>
      <c r="R24" s="3">
        <v>1</v>
      </c>
      <c r="S24" s="3">
        <v>1</v>
      </c>
      <c r="T24" s="3" t="s">
        <v>32</v>
      </c>
      <c r="U24" s="3" t="s">
        <v>33</v>
      </c>
      <c r="V24" s="3">
        <v>1</v>
      </c>
      <c r="W24" s="3">
        <v>1</v>
      </c>
      <c r="X24" s="3" t="s">
        <v>34</v>
      </c>
      <c r="Y24" s="3" t="s">
        <v>35</v>
      </c>
      <c r="Z24" s="3">
        <v>1</v>
      </c>
      <c r="AA24" s="3">
        <v>1</v>
      </c>
    </row>
    <row r="25" spans="1:31" s="3" customFormat="1" x14ac:dyDescent="0.25">
      <c r="A25" s="3" t="str">
        <f t="shared" si="0"/>
        <v>شلنگ مستقیم قطر114 ضخامت 5لایه 6 1متری</v>
      </c>
      <c r="B25" s="3">
        <v>1</v>
      </c>
      <c r="C25" s="3" t="s">
        <v>27</v>
      </c>
      <c r="D25" s="3" t="s">
        <v>28</v>
      </c>
      <c r="E25" s="3">
        <v>114</v>
      </c>
      <c r="F25" s="3">
        <v>1</v>
      </c>
      <c r="G25" s="3">
        <v>1</v>
      </c>
      <c r="H25" s="3" t="s">
        <v>29</v>
      </c>
      <c r="I25" s="3">
        <v>1</v>
      </c>
      <c r="J25" s="3">
        <v>1</v>
      </c>
      <c r="K25" s="3">
        <v>1</v>
      </c>
      <c r="L25" s="3" t="s">
        <v>30</v>
      </c>
      <c r="M25" s="3">
        <v>6</v>
      </c>
      <c r="N25" s="3">
        <v>1</v>
      </c>
      <c r="O25" s="3">
        <v>1</v>
      </c>
      <c r="P25" s="3" t="s">
        <v>31</v>
      </c>
      <c r="Q25" s="3">
        <v>5</v>
      </c>
      <c r="R25" s="3">
        <v>1</v>
      </c>
      <c r="S25" s="3">
        <v>1</v>
      </c>
      <c r="T25" s="3" t="s">
        <v>32</v>
      </c>
      <c r="U25" s="3" t="s">
        <v>33</v>
      </c>
      <c r="V25" s="3">
        <v>1</v>
      </c>
      <c r="W25" s="3">
        <v>1</v>
      </c>
      <c r="X25" s="3" t="s">
        <v>34</v>
      </c>
      <c r="Y25" s="3" t="s">
        <v>35</v>
      </c>
      <c r="Z25" s="3">
        <v>1</v>
      </c>
      <c r="AA25" s="3">
        <v>1</v>
      </c>
    </row>
    <row r="26" spans="1:31" s="1" customFormat="1" x14ac:dyDescent="0.25">
      <c r="A26" s="1" t="str">
        <f>"خم های غیر استاندارد" &amp;" " &amp;"قطر"&amp; E26 &amp;" "&amp; "ضخامت "&amp;Q26 &amp;"لایه"&amp;" "&amp; M26 &amp;" "&amp; AC26</f>
        <v>خم های غیر استاندارد قطر35 ضخامت 3لایه 4 150*150</v>
      </c>
      <c r="B26" s="1">
        <v>1</v>
      </c>
      <c r="C26" s="1" t="s">
        <v>36</v>
      </c>
      <c r="D26" s="1" t="s">
        <v>28</v>
      </c>
      <c r="E26" s="1">
        <v>35</v>
      </c>
      <c r="F26" s="1">
        <v>1</v>
      </c>
      <c r="G26" s="1">
        <v>1</v>
      </c>
      <c r="L26" s="1" t="s">
        <v>30</v>
      </c>
      <c r="M26" s="1">
        <v>4</v>
      </c>
      <c r="N26" s="1">
        <v>1</v>
      </c>
      <c r="O26" s="1">
        <v>1</v>
      </c>
      <c r="P26" s="1" t="s">
        <v>31</v>
      </c>
      <c r="Q26" s="1">
        <v>3</v>
      </c>
      <c r="R26" s="1">
        <v>1</v>
      </c>
      <c r="S26" s="1">
        <v>1</v>
      </c>
      <c r="T26" s="1" t="s">
        <v>32</v>
      </c>
      <c r="U26" s="1" t="s">
        <v>33</v>
      </c>
      <c r="V26" s="1">
        <v>1</v>
      </c>
      <c r="W26" s="1">
        <v>1</v>
      </c>
      <c r="X26" s="1" t="s">
        <v>34</v>
      </c>
      <c r="Y26" s="1" t="s">
        <v>35</v>
      </c>
      <c r="Z26" s="1">
        <v>1</v>
      </c>
      <c r="AA26" s="1">
        <v>1</v>
      </c>
      <c r="AB26" s="1" t="s">
        <v>47</v>
      </c>
      <c r="AC26" s="1" t="s">
        <v>48</v>
      </c>
      <c r="AD26" s="1">
        <v>1</v>
      </c>
      <c r="AE26" s="1">
        <v>1</v>
      </c>
    </row>
    <row r="27" spans="1:31" s="1" customFormat="1" x14ac:dyDescent="0.25">
      <c r="A27" s="1" t="str">
        <f t="shared" ref="A27:A39" si="1">"خم های غیر استاندارد" &amp;" " &amp;"قطر"&amp; E27 &amp;" "&amp; "ضخامت "&amp;Q27 &amp;"لایه"&amp;" "&amp; M27 &amp;" "&amp; AC27</f>
        <v>خم های غیر استاندارد قطر45 ضخامت 3لایه 4 150*150</v>
      </c>
      <c r="B27" s="1">
        <v>1</v>
      </c>
      <c r="C27" s="1" t="s">
        <v>36</v>
      </c>
      <c r="D27" s="1" t="s">
        <v>28</v>
      </c>
      <c r="E27" s="1">
        <v>45</v>
      </c>
      <c r="F27" s="1">
        <v>1</v>
      </c>
      <c r="G27" s="1">
        <v>1</v>
      </c>
      <c r="L27" s="1" t="s">
        <v>30</v>
      </c>
      <c r="M27" s="1">
        <v>4</v>
      </c>
      <c r="N27" s="1">
        <v>1</v>
      </c>
      <c r="O27" s="1">
        <v>1</v>
      </c>
      <c r="P27" s="1" t="s">
        <v>31</v>
      </c>
      <c r="Q27" s="1">
        <v>3</v>
      </c>
      <c r="R27" s="1">
        <v>1</v>
      </c>
      <c r="S27" s="1">
        <v>1</v>
      </c>
      <c r="T27" s="1" t="s">
        <v>32</v>
      </c>
      <c r="U27" s="1" t="s">
        <v>33</v>
      </c>
      <c r="V27" s="1">
        <v>1</v>
      </c>
      <c r="W27" s="1">
        <v>1</v>
      </c>
      <c r="X27" s="1" t="s">
        <v>34</v>
      </c>
      <c r="Y27" s="1" t="s">
        <v>35</v>
      </c>
      <c r="Z27" s="1">
        <v>1</v>
      </c>
      <c r="AA27" s="1">
        <v>1</v>
      </c>
      <c r="AB27" s="1" t="s">
        <v>47</v>
      </c>
      <c r="AC27" s="1" t="s">
        <v>48</v>
      </c>
      <c r="AD27" s="1">
        <v>1</v>
      </c>
      <c r="AE27" s="1">
        <v>1</v>
      </c>
    </row>
    <row r="28" spans="1:31" s="1" customFormat="1" x14ac:dyDescent="0.25">
      <c r="A28" s="1" t="str">
        <f t="shared" si="1"/>
        <v>خم های غیر استاندارد قطر51 ضخامت 4لایه 5 150*150</v>
      </c>
      <c r="B28" s="1">
        <v>1</v>
      </c>
      <c r="C28" s="1" t="s">
        <v>36</v>
      </c>
      <c r="D28" s="1" t="s">
        <v>28</v>
      </c>
      <c r="E28" s="1">
        <v>51</v>
      </c>
      <c r="F28" s="1">
        <v>1</v>
      </c>
      <c r="G28" s="1">
        <v>1</v>
      </c>
      <c r="L28" s="1" t="s">
        <v>30</v>
      </c>
      <c r="M28" s="1">
        <v>5</v>
      </c>
      <c r="N28" s="1">
        <v>1</v>
      </c>
      <c r="O28" s="1">
        <v>1</v>
      </c>
      <c r="P28" s="1" t="s">
        <v>31</v>
      </c>
      <c r="Q28" s="1">
        <v>4</v>
      </c>
      <c r="R28" s="1">
        <v>1</v>
      </c>
      <c r="S28" s="1">
        <v>1</v>
      </c>
      <c r="T28" s="1" t="s">
        <v>32</v>
      </c>
      <c r="U28" s="1" t="s">
        <v>33</v>
      </c>
      <c r="V28" s="1">
        <v>1</v>
      </c>
      <c r="W28" s="1">
        <v>1</v>
      </c>
      <c r="X28" s="1" t="s">
        <v>34</v>
      </c>
      <c r="Y28" s="1" t="s">
        <v>35</v>
      </c>
      <c r="Z28" s="1">
        <v>1</v>
      </c>
      <c r="AA28" s="1">
        <v>1</v>
      </c>
      <c r="AB28" s="1" t="s">
        <v>47</v>
      </c>
      <c r="AC28" s="1" t="s">
        <v>48</v>
      </c>
      <c r="AD28" s="1">
        <v>1</v>
      </c>
      <c r="AE28" s="1">
        <v>1</v>
      </c>
    </row>
    <row r="29" spans="1:31" s="1" customFormat="1" x14ac:dyDescent="0.25">
      <c r="A29" s="1" t="str">
        <f t="shared" si="1"/>
        <v>خم های غیر استاندارد قطر63 ضخامت 4لایه 5 150*150</v>
      </c>
      <c r="B29" s="1">
        <v>1</v>
      </c>
      <c r="C29" s="1" t="s">
        <v>36</v>
      </c>
      <c r="D29" s="1" t="s">
        <v>28</v>
      </c>
      <c r="E29" s="1">
        <v>63</v>
      </c>
      <c r="F29" s="1">
        <v>1</v>
      </c>
      <c r="G29" s="1">
        <v>1</v>
      </c>
      <c r="L29" s="1" t="s">
        <v>30</v>
      </c>
      <c r="M29" s="1">
        <v>5</v>
      </c>
      <c r="N29" s="1">
        <v>1</v>
      </c>
      <c r="O29" s="1">
        <v>1</v>
      </c>
      <c r="P29" s="1" t="s">
        <v>31</v>
      </c>
      <c r="Q29" s="1">
        <v>4</v>
      </c>
      <c r="R29" s="1">
        <v>1</v>
      </c>
      <c r="S29" s="1">
        <v>1</v>
      </c>
      <c r="T29" s="1" t="s">
        <v>32</v>
      </c>
      <c r="U29" s="1" t="s">
        <v>33</v>
      </c>
      <c r="V29" s="1">
        <v>1</v>
      </c>
      <c r="W29" s="1">
        <v>1</v>
      </c>
      <c r="X29" s="1" t="s">
        <v>34</v>
      </c>
      <c r="Y29" s="1" t="s">
        <v>35</v>
      </c>
      <c r="Z29" s="1">
        <v>1</v>
      </c>
      <c r="AA29" s="1">
        <v>1</v>
      </c>
      <c r="AB29" s="1" t="s">
        <v>47</v>
      </c>
      <c r="AC29" s="1" t="s">
        <v>48</v>
      </c>
      <c r="AD29" s="1">
        <v>1</v>
      </c>
      <c r="AE29" s="1">
        <v>1</v>
      </c>
    </row>
    <row r="30" spans="1:31" s="1" customFormat="1" x14ac:dyDescent="0.25">
      <c r="A30" s="1" t="str">
        <f t="shared" si="1"/>
        <v>خم های غیر استاندارد قطر76 ضخامت 4لایه 5 102*108</v>
      </c>
      <c r="B30" s="1">
        <v>1</v>
      </c>
      <c r="C30" s="1" t="s">
        <v>36</v>
      </c>
      <c r="D30" s="1" t="s">
        <v>28</v>
      </c>
      <c r="E30" s="1">
        <v>76</v>
      </c>
      <c r="F30" s="1">
        <v>1</v>
      </c>
      <c r="G30" s="1">
        <v>1</v>
      </c>
      <c r="L30" s="1" t="s">
        <v>30</v>
      </c>
      <c r="M30" s="1">
        <v>5</v>
      </c>
      <c r="N30" s="1">
        <v>1</v>
      </c>
      <c r="O30" s="1">
        <v>1</v>
      </c>
      <c r="P30" s="1" t="s">
        <v>31</v>
      </c>
      <c r="Q30" s="1">
        <v>4</v>
      </c>
      <c r="R30" s="1">
        <v>1</v>
      </c>
      <c r="S30" s="1">
        <v>1</v>
      </c>
      <c r="T30" s="1" t="s">
        <v>32</v>
      </c>
      <c r="U30" s="1" t="s">
        <v>33</v>
      </c>
      <c r="V30" s="1">
        <v>1</v>
      </c>
      <c r="W30" s="1">
        <v>1</v>
      </c>
      <c r="X30" s="1" t="s">
        <v>34</v>
      </c>
      <c r="Y30" s="1" t="s">
        <v>35</v>
      </c>
      <c r="Z30" s="1">
        <v>1</v>
      </c>
      <c r="AA30" s="1">
        <v>1</v>
      </c>
      <c r="AB30" s="1" t="s">
        <v>47</v>
      </c>
      <c r="AC30" s="1" t="s">
        <v>51</v>
      </c>
      <c r="AD30" s="1">
        <v>1</v>
      </c>
      <c r="AE30" s="1">
        <v>1</v>
      </c>
    </row>
    <row r="31" spans="1:31" s="1" customFormat="1" x14ac:dyDescent="0.25">
      <c r="A31" s="1" t="str">
        <f t="shared" si="1"/>
        <v>خم های غیر استاندارد قطر80 ضخامت 4لایه 5 150*150</v>
      </c>
      <c r="B31" s="1">
        <v>1</v>
      </c>
      <c r="C31" s="1" t="s">
        <v>36</v>
      </c>
      <c r="D31" s="1" t="s">
        <v>28</v>
      </c>
      <c r="E31" s="1">
        <v>80</v>
      </c>
      <c r="F31" s="1">
        <v>1</v>
      </c>
      <c r="G31" s="1">
        <v>1</v>
      </c>
      <c r="L31" s="1" t="s">
        <v>30</v>
      </c>
      <c r="M31" s="1">
        <v>5</v>
      </c>
      <c r="N31" s="1">
        <v>1</v>
      </c>
      <c r="O31" s="1">
        <v>1</v>
      </c>
      <c r="P31" s="1" t="s">
        <v>31</v>
      </c>
      <c r="Q31" s="1">
        <v>4</v>
      </c>
      <c r="R31" s="1">
        <v>1</v>
      </c>
      <c r="S31" s="1">
        <v>1</v>
      </c>
      <c r="T31" s="1" t="s">
        <v>32</v>
      </c>
      <c r="U31" s="1" t="s">
        <v>33</v>
      </c>
      <c r="V31" s="1">
        <v>1</v>
      </c>
      <c r="W31" s="1">
        <v>1</v>
      </c>
      <c r="X31" s="1" t="s">
        <v>34</v>
      </c>
      <c r="Y31" s="1" t="s">
        <v>35</v>
      </c>
      <c r="Z31" s="1">
        <v>1</v>
      </c>
      <c r="AA31" s="1">
        <v>1</v>
      </c>
      <c r="AB31" s="1" t="s">
        <v>47</v>
      </c>
      <c r="AC31" s="1" t="s">
        <v>48</v>
      </c>
      <c r="AD31" s="1">
        <v>1</v>
      </c>
      <c r="AE31" s="1">
        <v>1</v>
      </c>
    </row>
    <row r="32" spans="1:31" s="1" customFormat="1" x14ac:dyDescent="0.25">
      <c r="A32" s="1" t="str">
        <f t="shared" si="1"/>
        <v>خم های غیر استاندارد قطر76/63 ضخامت 4لایه 5 150*150</v>
      </c>
      <c r="B32" s="1">
        <v>1</v>
      </c>
      <c r="C32" s="1" t="s">
        <v>36</v>
      </c>
      <c r="D32" s="1" t="s">
        <v>28</v>
      </c>
      <c r="E32" s="2" t="s">
        <v>37</v>
      </c>
      <c r="F32" s="1">
        <v>1</v>
      </c>
      <c r="G32" s="1">
        <v>1</v>
      </c>
      <c r="L32" s="1" t="s">
        <v>30</v>
      </c>
      <c r="M32" s="1">
        <v>5</v>
      </c>
      <c r="N32" s="1">
        <v>1</v>
      </c>
      <c r="O32" s="1">
        <v>1</v>
      </c>
      <c r="P32" s="1" t="s">
        <v>31</v>
      </c>
      <c r="Q32" s="1">
        <v>4</v>
      </c>
      <c r="R32" s="1">
        <v>1</v>
      </c>
      <c r="S32" s="1">
        <v>1</v>
      </c>
      <c r="T32" s="1" t="s">
        <v>32</v>
      </c>
      <c r="U32" s="1" t="s">
        <v>33</v>
      </c>
      <c r="V32" s="1">
        <v>1</v>
      </c>
      <c r="W32" s="1">
        <v>1</v>
      </c>
      <c r="X32" s="1" t="s">
        <v>34</v>
      </c>
      <c r="Y32" s="1" t="s">
        <v>35</v>
      </c>
      <c r="Z32" s="1">
        <v>1</v>
      </c>
      <c r="AA32" s="1">
        <v>1</v>
      </c>
      <c r="AB32" s="1" t="s">
        <v>47</v>
      </c>
      <c r="AC32" s="1" t="s">
        <v>48</v>
      </c>
      <c r="AD32" s="1">
        <v>1</v>
      </c>
      <c r="AE32" s="1">
        <v>1</v>
      </c>
    </row>
    <row r="33" spans="1:31" s="1" customFormat="1" x14ac:dyDescent="0.25">
      <c r="A33" s="1" t="str">
        <f t="shared" si="1"/>
        <v>خم های غیر استاندارد قطر51/40 ضخامت 4لایه 5 150*150</v>
      </c>
      <c r="B33" s="1">
        <v>1</v>
      </c>
      <c r="C33" s="1" t="s">
        <v>36</v>
      </c>
      <c r="D33" s="1" t="s">
        <v>28</v>
      </c>
      <c r="E33" s="2" t="s">
        <v>38</v>
      </c>
      <c r="F33" s="1">
        <v>1</v>
      </c>
      <c r="G33" s="1">
        <v>1</v>
      </c>
      <c r="L33" s="1" t="s">
        <v>30</v>
      </c>
      <c r="M33" s="1">
        <v>5</v>
      </c>
      <c r="N33" s="1">
        <v>1</v>
      </c>
      <c r="O33" s="1">
        <v>1</v>
      </c>
      <c r="P33" s="1" t="s">
        <v>31</v>
      </c>
      <c r="Q33" s="1">
        <v>4</v>
      </c>
      <c r="R33" s="1">
        <v>1</v>
      </c>
      <c r="S33" s="1">
        <v>1</v>
      </c>
      <c r="T33" s="1" t="s">
        <v>32</v>
      </c>
      <c r="U33" s="1" t="s">
        <v>33</v>
      </c>
      <c r="V33" s="1">
        <v>1</v>
      </c>
      <c r="W33" s="1">
        <v>1</v>
      </c>
      <c r="X33" s="1" t="s">
        <v>34</v>
      </c>
      <c r="Y33" s="1" t="s">
        <v>35</v>
      </c>
      <c r="Z33" s="1">
        <v>1</v>
      </c>
      <c r="AA33" s="1">
        <v>1</v>
      </c>
      <c r="AB33" s="1" t="s">
        <v>47</v>
      </c>
      <c r="AC33" s="1" t="s">
        <v>48</v>
      </c>
      <c r="AD33" s="1">
        <v>1</v>
      </c>
      <c r="AE33" s="1">
        <v>1</v>
      </c>
    </row>
    <row r="34" spans="1:31" s="1" customFormat="1" x14ac:dyDescent="0.25">
      <c r="A34" s="1" t="str">
        <f t="shared" si="1"/>
        <v>خم های غیر استاندارد قطر60/51 ضخامت 4لایه 5 150*150</v>
      </c>
      <c r="B34" s="1">
        <v>1</v>
      </c>
      <c r="C34" s="1" t="s">
        <v>36</v>
      </c>
      <c r="D34" s="1" t="s">
        <v>28</v>
      </c>
      <c r="E34" s="2" t="s">
        <v>39</v>
      </c>
      <c r="F34" s="1">
        <v>1</v>
      </c>
      <c r="G34" s="1">
        <v>1</v>
      </c>
      <c r="L34" s="1" t="s">
        <v>30</v>
      </c>
      <c r="M34" s="1">
        <v>5</v>
      </c>
      <c r="N34" s="1">
        <v>1</v>
      </c>
      <c r="O34" s="1">
        <v>1</v>
      </c>
      <c r="P34" s="1" t="s">
        <v>31</v>
      </c>
      <c r="Q34" s="1">
        <v>4</v>
      </c>
      <c r="R34" s="1">
        <v>1</v>
      </c>
      <c r="S34" s="1">
        <v>1</v>
      </c>
      <c r="T34" s="1" t="s">
        <v>32</v>
      </c>
      <c r="U34" s="1" t="s">
        <v>33</v>
      </c>
      <c r="V34" s="1">
        <v>1</v>
      </c>
      <c r="W34" s="1">
        <v>1</v>
      </c>
      <c r="X34" s="1" t="s">
        <v>34</v>
      </c>
      <c r="Y34" s="1" t="s">
        <v>35</v>
      </c>
      <c r="Z34" s="1">
        <v>1</v>
      </c>
      <c r="AA34" s="1">
        <v>1</v>
      </c>
      <c r="AB34" s="1" t="s">
        <v>47</v>
      </c>
      <c r="AC34" s="1" t="s">
        <v>48</v>
      </c>
      <c r="AD34" s="1">
        <v>1</v>
      </c>
      <c r="AE34" s="1">
        <v>1</v>
      </c>
    </row>
    <row r="35" spans="1:31" s="1" customFormat="1" x14ac:dyDescent="0.25">
      <c r="A35" s="1" t="str">
        <f t="shared" si="1"/>
        <v>خم های غیر استاندارد قطر60/51 ضخامت 4لایه 5 200*200</v>
      </c>
      <c r="B35" s="1">
        <v>1</v>
      </c>
      <c r="C35" s="1" t="s">
        <v>36</v>
      </c>
      <c r="D35" s="1" t="s">
        <v>28</v>
      </c>
      <c r="E35" s="2" t="s">
        <v>39</v>
      </c>
      <c r="F35" s="1">
        <v>1</v>
      </c>
      <c r="G35" s="1">
        <v>1</v>
      </c>
      <c r="L35" s="1" t="s">
        <v>30</v>
      </c>
      <c r="M35" s="1">
        <v>5</v>
      </c>
      <c r="N35" s="1">
        <v>1</v>
      </c>
      <c r="O35" s="1">
        <v>1</v>
      </c>
      <c r="P35" s="1" t="s">
        <v>31</v>
      </c>
      <c r="Q35" s="1">
        <v>4</v>
      </c>
      <c r="R35" s="1">
        <v>1</v>
      </c>
      <c r="S35" s="1">
        <v>1</v>
      </c>
      <c r="T35" s="1" t="s">
        <v>32</v>
      </c>
      <c r="U35" s="1" t="s">
        <v>33</v>
      </c>
      <c r="V35" s="1">
        <v>1</v>
      </c>
      <c r="W35" s="1">
        <v>1</v>
      </c>
      <c r="X35" s="1" t="s">
        <v>34</v>
      </c>
      <c r="Y35" s="1" t="s">
        <v>35</v>
      </c>
      <c r="Z35" s="1">
        <v>1</v>
      </c>
      <c r="AA35" s="1">
        <v>1</v>
      </c>
      <c r="AB35" s="1" t="s">
        <v>47</v>
      </c>
      <c r="AC35" s="1" t="s">
        <v>50</v>
      </c>
      <c r="AD35" s="1">
        <v>1</v>
      </c>
      <c r="AE35" s="1">
        <v>1</v>
      </c>
    </row>
    <row r="36" spans="1:31" s="1" customFormat="1" x14ac:dyDescent="0.25">
      <c r="A36" s="1" t="str">
        <f t="shared" si="1"/>
        <v>خم های غیر استاندارد قطر60/51 ضخامت 4لایه 5 200</v>
      </c>
      <c r="B36" s="1">
        <v>1</v>
      </c>
      <c r="C36" s="1" t="s">
        <v>36</v>
      </c>
      <c r="D36" s="1" t="s">
        <v>28</v>
      </c>
      <c r="E36" s="2" t="s">
        <v>39</v>
      </c>
      <c r="F36" s="1">
        <v>1</v>
      </c>
      <c r="G36" s="1">
        <v>1</v>
      </c>
      <c r="L36" s="1" t="s">
        <v>30</v>
      </c>
      <c r="M36" s="1">
        <v>5</v>
      </c>
      <c r="N36" s="1">
        <v>1</v>
      </c>
      <c r="O36" s="1">
        <v>1</v>
      </c>
      <c r="P36" s="1" t="s">
        <v>31</v>
      </c>
      <c r="Q36" s="1">
        <v>4</v>
      </c>
      <c r="R36" s="1">
        <v>1</v>
      </c>
      <c r="S36" s="1">
        <v>1</v>
      </c>
      <c r="T36" s="1" t="s">
        <v>32</v>
      </c>
      <c r="U36" s="1" t="s">
        <v>33</v>
      </c>
      <c r="V36" s="1">
        <v>1</v>
      </c>
      <c r="W36" s="1">
        <v>1</v>
      </c>
      <c r="X36" s="1" t="s">
        <v>34</v>
      </c>
      <c r="Y36" s="1" t="s">
        <v>42</v>
      </c>
      <c r="Z36" s="1">
        <v>1</v>
      </c>
      <c r="AA36" s="1">
        <v>1</v>
      </c>
      <c r="AB36" s="1" t="s">
        <v>47</v>
      </c>
      <c r="AC36" s="1">
        <v>200</v>
      </c>
      <c r="AD36" s="1">
        <v>1</v>
      </c>
      <c r="AE36" s="1">
        <v>1</v>
      </c>
    </row>
    <row r="37" spans="1:31" s="1" customFormat="1" x14ac:dyDescent="0.25">
      <c r="A37" s="1" t="str">
        <f t="shared" si="1"/>
        <v>خم های غیر استاندارد قطر70/60 ضخامت 4لایه 5 150*150</v>
      </c>
      <c r="B37" s="1">
        <v>1</v>
      </c>
      <c r="C37" s="1" t="s">
        <v>36</v>
      </c>
      <c r="D37" s="1" t="s">
        <v>28</v>
      </c>
      <c r="E37" s="2" t="s">
        <v>40</v>
      </c>
      <c r="F37" s="1">
        <v>1</v>
      </c>
      <c r="G37" s="1">
        <v>1</v>
      </c>
      <c r="L37" s="1" t="s">
        <v>30</v>
      </c>
      <c r="M37" s="1">
        <v>5</v>
      </c>
      <c r="N37" s="1">
        <v>1</v>
      </c>
      <c r="O37" s="1">
        <v>1</v>
      </c>
      <c r="P37" s="1" t="s">
        <v>31</v>
      </c>
      <c r="Q37" s="1">
        <v>4</v>
      </c>
      <c r="R37" s="1">
        <v>1</v>
      </c>
      <c r="S37" s="1">
        <v>1</v>
      </c>
      <c r="T37" s="1" t="s">
        <v>32</v>
      </c>
      <c r="U37" s="1" t="s">
        <v>33</v>
      </c>
      <c r="V37" s="1">
        <v>1</v>
      </c>
      <c r="W37" s="1">
        <v>1</v>
      </c>
      <c r="X37" s="1" t="s">
        <v>34</v>
      </c>
      <c r="Y37" s="1" t="s">
        <v>35</v>
      </c>
      <c r="Z37" s="1">
        <v>1</v>
      </c>
      <c r="AA37" s="1">
        <v>1</v>
      </c>
      <c r="AB37" s="1" t="s">
        <v>47</v>
      </c>
      <c r="AC37" s="1" t="s">
        <v>48</v>
      </c>
      <c r="AD37" s="1">
        <v>1</v>
      </c>
      <c r="AE37" s="1">
        <v>1</v>
      </c>
    </row>
    <row r="38" spans="1:31" s="1" customFormat="1" x14ac:dyDescent="0.25">
      <c r="A38" s="1" t="str">
        <f t="shared" si="1"/>
        <v>خم های غیر استاندارد قطر63/76 ضخامت 4لایه 5 150*150</v>
      </c>
      <c r="B38" s="1">
        <v>1</v>
      </c>
      <c r="C38" s="1" t="s">
        <v>36</v>
      </c>
      <c r="D38" s="1" t="s">
        <v>28</v>
      </c>
      <c r="E38" s="2" t="s">
        <v>41</v>
      </c>
      <c r="F38" s="1">
        <v>1</v>
      </c>
      <c r="G38" s="1">
        <v>1</v>
      </c>
      <c r="L38" s="1" t="s">
        <v>30</v>
      </c>
      <c r="M38" s="1">
        <v>5</v>
      </c>
      <c r="N38" s="1">
        <v>1</v>
      </c>
      <c r="O38" s="1">
        <v>1</v>
      </c>
      <c r="P38" s="1" t="s">
        <v>31</v>
      </c>
      <c r="Q38" s="1">
        <v>4</v>
      </c>
      <c r="R38" s="1">
        <v>1</v>
      </c>
      <c r="S38" s="1">
        <v>1</v>
      </c>
      <c r="T38" s="1" t="s">
        <v>32</v>
      </c>
      <c r="U38" s="1" t="s">
        <v>33</v>
      </c>
      <c r="V38" s="1">
        <v>1</v>
      </c>
      <c r="W38" s="1">
        <v>1</v>
      </c>
      <c r="X38" s="1" t="s">
        <v>34</v>
      </c>
      <c r="Y38" s="1" t="s">
        <v>35</v>
      </c>
      <c r="Z38" s="1">
        <v>1</v>
      </c>
      <c r="AA38" s="1">
        <v>1</v>
      </c>
      <c r="AB38" s="1" t="s">
        <v>47</v>
      </c>
      <c r="AC38" s="1" t="s">
        <v>48</v>
      </c>
      <c r="AD38" s="1">
        <v>1</v>
      </c>
      <c r="AE38" s="1">
        <v>1</v>
      </c>
    </row>
    <row r="39" spans="1:31" s="1" customFormat="1" x14ac:dyDescent="0.25">
      <c r="A39" s="1" t="str">
        <f t="shared" si="1"/>
        <v>خم های غیر استاندارد قطر55 ضخامت 4لایه 5 125*95*125</v>
      </c>
      <c r="B39" s="1">
        <v>1</v>
      </c>
      <c r="C39" s="1" t="s">
        <v>36</v>
      </c>
      <c r="D39" s="1" t="s">
        <v>28</v>
      </c>
      <c r="E39" s="1">
        <v>55</v>
      </c>
      <c r="F39" s="1">
        <v>1</v>
      </c>
      <c r="G39" s="1">
        <v>1</v>
      </c>
      <c r="L39" s="1" t="s">
        <v>30</v>
      </c>
      <c r="M39" s="1">
        <v>5</v>
      </c>
      <c r="N39" s="1">
        <v>1</v>
      </c>
      <c r="O39" s="1">
        <v>1</v>
      </c>
      <c r="P39" s="1" t="s">
        <v>31</v>
      </c>
      <c r="Q39" s="1">
        <v>4</v>
      </c>
      <c r="R39" s="1">
        <v>1</v>
      </c>
      <c r="S39" s="1">
        <v>1</v>
      </c>
      <c r="T39" s="1" t="s">
        <v>32</v>
      </c>
      <c r="U39" s="1" t="s">
        <v>33</v>
      </c>
      <c r="V39" s="1">
        <v>1</v>
      </c>
      <c r="W39" s="1">
        <v>1</v>
      </c>
      <c r="X39" s="1" t="s">
        <v>34</v>
      </c>
      <c r="Y39" s="1" t="s">
        <v>35</v>
      </c>
      <c r="Z39" s="1">
        <v>1</v>
      </c>
      <c r="AA39" s="1">
        <v>1</v>
      </c>
      <c r="AB39" s="1" t="s">
        <v>47</v>
      </c>
      <c r="AC39" s="1" t="s">
        <v>52</v>
      </c>
      <c r="AD39" s="1">
        <v>1</v>
      </c>
      <c r="AE39" s="1">
        <v>1</v>
      </c>
    </row>
    <row r="40" spans="1:31" s="4" customFormat="1" x14ac:dyDescent="0.25">
      <c r="A40" s="4" t="str">
        <f>"هواکش لاستیکی" &amp;" " &amp;"قطر"&amp; E40 &amp;" "&amp; M40 &amp;" "&amp; AC40 &amp;"سانتی متر"</f>
        <v>هواکش لاستیکی قطر32  50سانتی متر</v>
      </c>
      <c r="B40" s="4">
        <v>1</v>
      </c>
      <c r="C40" s="4" t="s">
        <v>53</v>
      </c>
      <c r="D40" s="4" t="s">
        <v>28</v>
      </c>
      <c r="E40" s="4">
        <v>32</v>
      </c>
      <c r="F40" s="4">
        <v>1</v>
      </c>
      <c r="G40" s="4">
        <v>1</v>
      </c>
      <c r="T40" s="4" t="s">
        <v>32</v>
      </c>
      <c r="U40" s="4" t="s">
        <v>54</v>
      </c>
      <c r="V40" s="4">
        <v>1</v>
      </c>
      <c r="W40" s="4">
        <v>1</v>
      </c>
      <c r="AB40" s="4" t="s">
        <v>47</v>
      </c>
      <c r="AC40" s="4">
        <v>50</v>
      </c>
      <c r="AD40" s="4">
        <v>1</v>
      </c>
      <c r="AE40" s="4">
        <v>1</v>
      </c>
    </row>
    <row r="41" spans="1:31" s="4" customFormat="1" x14ac:dyDescent="0.25">
      <c r="A41" s="4" t="str">
        <f t="shared" ref="A41:A69" si="2">"هواکش لاستیکی" &amp;" " &amp;"قطر"&amp; E41 &amp;" "&amp; M41 &amp;" "&amp; AC41 &amp;"سانتی متر"</f>
        <v>هواکش لاستیکی قطر32  75سانتی متر</v>
      </c>
      <c r="B41" s="4">
        <v>1</v>
      </c>
      <c r="C41" s="4" t="s">
        <v>53</v>
      </c>
      <c r="D41" s="4" t="s">
        <v>28</v>
      </c>
      <c r="E41" s="4">
        <v>32</v>
      </c>
      <c r="F41" s="4">
        <v>1</v>
      </c>
      <c r="G41" s="4">
        <v>1</v>
      </c>
      <c r="T41" s="4" t="s">
        <v>32</v>
      </c>
      <c r="U41" s="4" t="s">
        <v>54</v>
      </c>
      <c r="V41" s="4">
        <v>1</v>
      </c>
      <c r="W41" s="4">
        <v>1</v>
      </c>
      <c r="AB41" s="4" t="s">
        <v>47</v>
      </c>
      <c r="AC41" s="4">
        <v>75</v>
      </c>
      <c r="AD41" s="4">
        <v>1</v>
      </c>
      <c r="AE41" s="4">
        <v>1</v>
      </c>
    </row>
    <row r="42" spans="1:31" s="4" customFormat="1" x14ac:dyDescent="0.25">
      <c r="A42" s="4" t="str">
        <f t="shared" si="2"/>
        <v>هواکش لاستیکی قطر32  100سانتی متر</v>
      </c>
      <c r="B42" s="4">
        <v>1</v>
      </c>
      <c r="C42" s="4" t="s">
        <v>53</v>
      </c>
      <c r="D42" s="4" t="s">
        <v>28</v>
      </c>
      <c r="E42" s="4">
        <v>32</v>
      </c>
      <c r="F42" s="4">
        <v>1</v>
      </c>
      <c r="G42" s="4">
        <v>1</v>
      </c>
      <c r="T42" s="4" t="s">
        <v>32</v>
      </c>
      <c r="U42" s="4" t="s">
        <v>54</v>
      </c>
      <c r="V42" s="4">
        <v>1</v>
      </c>
      <c r="W42" s="4">
        <v>1</v>
      </c>
      <c r="AB42" s="4" t="s">
        <v>47</v>
      </c>
      <c r="AC42" s="4">
        <v>100</v>
      </c>
      <c r="AD42" s="4">
        <v>1</v>
      </c>
      <c r="AE42" s="4">
        <v>1</v>
      </c>
    </row>
    <row r="43" spans="1:31" s="4" customFormat="1" x14ac:dyDescent="0.25">
      <c r="A43" s="4" t="str">
        <f t="shared" si="2"/>
        <v>هواکش لاستیکی قطر38  50سانتی متر</v>
      </c>
      <c r="B43" s="4">
        <v>1</v>
      </c>
      <c r="C43" s="4" t="s">
        <v>53</v>
      </c>
      <c r="D43" s="4" t="s">
        <v>28</v>
      </c>
      <c r="E43" s="4">
        <v>38</v>
      </c>
      <c r="F43" s="4">
        <v>1</v>
      </c>
      <c r="G43" s="4">
        <v>1</v>
      </c>
      <c r="T43" s="4" t="s">
        <v>32</v>
      </c>
      <c r="U43" s="4" t="s">
        <v>54</v>
      </c>
      <c r="V43" s="4">
        <v>1</v>
      </c>
      <c r="W43" s="4">
        <v>1</v>
      </c>
      <c r="AB43" s="4" t="s">
        <v>47</v>
      </c>
      <c r="AC43" s="4">
        <v>50</v>
      </c>
      <c r="AD43" s="4">
        <v>1</v>
      </c>
      <c r="AE43" s="4">
        <v>1</v>
      </c>
    </row>
    <row r="44" spans="1:31" s="4" customFormat="1" x14ac:dyDescent="0.25">
      <c r="A44" s="4" t="str">
        <f t="shared" si="2"/>
        <v>هواکش لاستیکی قطر38  75سانتی متر</v>
      </c>
      <c r="B44" s="4">
        <v>1</v>
      </c>
      <c r="C44" s="4" t="s">
        <v>53</v>
      </c>
      <c r="D44" s="4" t="s">
        <v>28</v>
      </c>
      <c r="E44" s="4">
        <v>38</v>
      </c>
      <c r="F44" s="4">
        <v>1</v>
      </c>
      <c r="G44" s="4">
        <v>1</v>
      </c>
      <c r="T44" s="4" t="s">
        <v>32</v>
      </c>
      <c r="U44" s="4" t="s">
        <v>54</v>
      </c>
      <c r="V44" s="4">
        <v>1</v>
      </c>
      <c r="W44" s="4">
        <v>1</v>
      </c>
      <c r="AB44" s="4" t="s">
        <v>47</v>
      </c>
      <c r="AC44" s="4">
        <v>75</v>
      </c>
      <c r="AD44" s="4">
        <v>1</v>
      </c>
      <c r="AE44" s="4">
        <v>1</v>
      </c>
    </row>
    <row r="45" spans="1:31" s="4" customFormat="1" x14ac:dyDescent="0.25">
      <c r="A45" s="4" t="str">
        <f t="shared" si="2"/>
        <v>هواکش لاستیکی قطر38  100سانتی متر</v>
      </c>
      <c r="B45" s="4">
        <v>1</v>
      </c>
      <c r="C45" s="4" t="s">
        <v>53</v>
      </c>
      <c r="D45" s="4" t="s">
        <v>28</v>
      </c>
      <c r="E45" s="4">
        <v>38</v>
      </c>
      <c r="F45" s="4">
        <v>1</v>
      </c>
      <c r="G45" s="4">
        <v>1</v>
      </c>
      <c r="T45" s="4" t="s">
        <v>32</v>
      </c>
      <c r="U45" s="4" t="s">
        <v>54</v>
      </c>
      <c r="V45" s="4">
        <v>1</v>
      </c>
      <c r="W45" s="4">
        <v>1</v>
      </c>
      <c r="AB45" s="4" t="s">
        <v>47</v>
      </c>
      <c r="AC45" s="4">
        <v>100</v>
      </c>
      <c r="AD45" s="4">
        <v>1</v>
      </c>
      <c r="AE45" s="4">
        <v>1</v>
      </c>
    </row>
    <row r="46" spans="1:31" s="4" customFormat="1" x14ac:dyDescent="0.25">
      <c r="A46" s="4" t="str">
        <f t="shared" si="2"/>
        <v>هواکش لاستیکی قطر45  50سانتی متر</v>
      </c>
      <c r="B46" s="4">
        <v>1</v>
      </c>
      <c r="C46" s="4" t="s">
        <v>53</v>
      </c>
      <c r="D46" s="4" t="s">
        <v>28</v>
      </c>
      <c r="E46" s="4">
        <v>45</v>
      </c>
      <c r="F46" s="4">
        <v>1</v>
      </c>
      <c r="G46" s="4">
        <v>1</v>
      </c>
      <c r="T46" s="4" t="s">
        <v>32</v>
      </c>
      <c r="U46" s="4" t="s">
        <v>54</v>
      </c>
      <c r="V46" s="4">
        <v>1</v>
      </c>
      <c r="W46" s="4">
        <v>1</v>
      </c>
      <c r="AB46" s="4" t="s">
        <v>47</v>
      </c>
      <c r="AC46" s="4">
        <v>50</v>
      </c>
      <c r="AD46" s="4">
        <v>1</v>
      </c>
      <c r="AE46" s="4">
        <v>1</v>
      </c>
    </row>
    <row r="47" spans="1:31" s="4" customFormat="1" x14ac:dyDescent="0.25">
      <c r="A47" s="4" t="str">
        <f t="shared" si="2"/>
        <v>هواکش لاستیکی قطر45  75سانتی متر</v>
      </c>
      <c r="B47" s="4">
        <v>1</v>
      </c>
      <c r="C47" s="4" t="s">
        <v>53</v>
      </c>
      <c r="D47" s="4" t="s">
        <v>28</v>
      </c>
      <c r="E47" s="4">
        <v>45</v>
      </c>
      <c r="F47" s="4">
        <v>1</v>
      </c>
      <c r="G47" s="4">
        <v>1</v>
      </c>
      <c r="T47" s="4" t="s">
        <v>32</v>
      </c>
      <c r="U47" s="4" t="s">
        <v>54</v>
      </c>
      <c r="V47" s="4">
        <v>1</v>
      </c>
      <c r="W47" s="4">
        <v>1</v>
      </c>
      <c r="AB47" s="4" t="s">
        <v>47</v>
      </c>
      <c r="AC47" s="4">
        <v>75</v>
      </c>
      <c r="AD47" s="4">
        <v>1</v>
      </c>
      <c r="AE47" s="4">
        <v>1</v>
      </c>
    </row>
    <row r="48" spans="1:31" s="4" customFormat="1" x14ac:dyDescent="0.25">
      <c r="A48" s="4" t="str">
        <f t="shared" si="2"/>
        <v>هواکش لاستیکی قطر45  100سانتی متر</v>
      </c>
      <c r="B48" s="4">
        <v>1</v>
      </c>
      <c r="C48" s="4" t="s">
        <v>53</v>
      </c>
      <c r="D48" s="4" t="s">
        <v>28</v>
      </c>
      <c r="E48" s="4">
        <v>45</v>
      </c>
      <c r="F48" s="4">
        <v>1</v>
      </c>
      <c r="G48" s="4">
        <v>1</v>
      </c>
      <c r="T48" s="4" t="s">
        <v>32</v>
      </c>
      <c r="U48" s="4" t="s">
        <v>54</v>
      </c>
      <c r="V48" s="4">
        <v>1</v>
      </c>
      <c r="W48" s="4">
        <v>1</v>
      </c>
      <c r="AB48" s="4" t="s">
        <v>47</v>
      </c>
      <c r="AC48" s="4">
        <v>100</v>
      </c>
      <c r="AD48" s="4">
        <v>1</v>
      </c>
      <c r="AE48" s="4">
        <v>1</v>
      </c>
    </row>
    <row r="49" spans="1:31" s="4" customFormat="1" x14ac:dyDescent="0.25">
      <c r="A49" s="4" t="str">
        <f t="shared" si="2"/>
        <v>هواکش لاستیکی قطر51  50سانتی متر</v>
      </c>
      <c r="B49" s="4">
        <v>1</v>
      </c>
      <c r="C49" s="4" t="s">
        <v>53</v>
      </c>
      <c r="D49" s="4" t="s">
        <v>28</v>
      </c>
      <c r="E49" s="4">
        <v>51</v>
      </c>
      <c r="F49" s="4">
        <v>1</v>
      </c>
      <c r="G49" s="4">
        <v>1</v>
      </c>
      <c r="T49" s="4" t="s">
        <v>32</v>
      </c>
      <c r="U49" s="4" t="s">
        <v>54</v>
      </c>
      <c r="V49" s="4">
        <v>1</v>
      </c>
      <c r="W49" s="4">
        <v>1</v>
      </c>
      <c r="AB49" s="4" t="s">
        <v>47</v>
      </c>
      <c r="AC49" s="4">
        <v>50</v>
      </c>
      <c r="AD49" s="4">
        <v>1</v>
      </c>
      <c r="AE49" s="4">
        <v>1</v>
      </c>
    </row>
    <row r="50" spans="1:31" s="4" customFormat="1" x14ac:dyDescent="0.25">
      <c r="A50" s="4" t="str">
        <f t="shared" si="2"/>
        <v>هواکش لاستیکی قطر51  75سانتی متر</v>
      </c>
      <c r="B50" s="4">
        <v>1</v>
      </c>
      <c r="C50" s="4" t="s">
        <v>53</v>
      </c>
      <c r="D50" s="4" t="s">
        <v>28</v>
      </c>
      <c r="E50" s="4">
        <v>51</v>
      </c>
      <c r="F50" s="4">
        <v>1</v>
      </c>
      <c r="G50" s="4">
        <v>1</v>
      </c>
      <c r="T50" s="4" t="s">
        <v>32</v>
      </c>
      <c r="U50" s="4" t="s">
        <v>54</v>
      </c>
      <c r="V50" s="4">
        <v>1</v>
      </c>
      <c r="W50" s="4">
        <v>1</v>
      </c>
      <c r="AB50" s="4" t="s">
        <v>47</v>
      </c>
      <c r="AC50" s="4">
        <v>75</v>
      </c>
      <c r="AD50" s="4">
        <v>1</v>
      </c>
      <c r="AE50" s="4">
        <v>1</v>
      </c>
    </row>
    <row r="51" spans="1:31" s="4" customFormat="1" x14ac:dyDescent="0.25">
      <c r="A51" s="4" t="str">
        <f t="shared" si="2"/>
        <v>هواکش لاستیکی قطر51  100سانتی متر</v>
      </c>
      <c r="B51" s="4">
        <v>1</v>
      </c>
      <c r="C51" s="4" t="s">
        <v>53</v>
      </c>
      <c r="D51" s="4" t="s">
        <v>28</v>
      </c>
      <c r="E51" s="4">
        <v>51</v>
      </c>
      <c r="F51" s="4">
        <v>1</v>
      </c>
      <c r="G51" s="4">
        <v>1</v>
      </c>
      <c r="T51" s="4" t="s">
        <v>32</v>
      </c>
      <c r="U51" s="4" t="s">
        <v>54</v>
      </c>
      <c r="V51" s="4">
        <v>1</v>
      </c>
      <c r="W51" s="4">
        <v>1</v>
      </c>
      <c r="AB51" s="4" t="s">
        <v>47</v>
      </c>
      <c r="AC51" s="4">
        <v>100</v>
      </c>
      <c r="AD51" s="4">
        <v>1</v>
      </c>
      <c r="AE51" s="4">
        <v>1</v>
      </c>
    </row>
    <row r="52" spans="1:31" s="4" customFormat="1" x14ac:dyDescent="0.25">
      <c r="A52" s="4" t="str">
        <f t="shared" si="2"/>
        <v>هواکش لاستیکی قطر63  50سانتی متر</v>
      </c>
      <c r="B52" s="4">
        <v>1</v>
      </c>
      <c r="C52" s="4" t="s">
        <v>53</v>
      </c>
      <c r="D52" s="4" t="s">
        <v>28</v>
      </c>
      <c r="E52" s="4">
        <v>63</v>
      </c>
      <c r="F52" s="4">
        <v>1</v>
      </c>
      <c r="G52" s="4">
        <v>1</v>
      </c>
      <c r="T52" s="4" t="s">
        <v>32</v>
      </c>
      <c r="U52" s="4" t="s">
        <v>54</v>
      </c>
      <c r="V52" s="4">
        <v>1</v>
      </c>
      <c r="W52" s="4">
        <v>1</v>
      </c>
      <c r="AB52" s="4" t="s">
        <v>47</v>
      </c>
      <c r="AC52" s="4">
        <v>50</v>
      </c>
      <c r="AD52" s="4">
        <v>1</v>
      </c>
      <c r="AE52" s="4">
        <v>1</v>
      </c>
    </row>
    <row r="53" spans="1:31" s="4" customFormat="1" x14ac:dyDescent="0.25">
      <c r="A53" s="4" t="str">
        <f t="shared" si="2"/>
        <v>هواکش لاستیکی قطر63  75سانتی متر</v>
      </c>
      <c r="B53" s="4">
        <v>1</v>
      </c>
      <c r="C53" s="4" t="s">
        <v>53</v>
      </c>
      <c r="D53" s="4" t="s">
        <v>28</v>
      </c>
      <c r="E53" s="4">
        <v>63</v>
      </c>
      <c r="F53" s="4">
        <v>1</v>
      </c>
      <c r="G53" s="4">
        <v>1</v>
      </c>
      <c r="T53" s="4" t="s">
        <v>32</v>
      </c>
      <c r="U53" s="4" t="s">
        <v>54</v>
      </c>
      <c r="V53" s="4">
        <v>1</v>
      </c>
      <c r="W53" s="4">
        <v>1</v>
      </c>
      <c r="AB53" s="4" t="s">
        <v>47</v>
      </c>
      <c r="AC53" s="4">
        <v>75</v>
      </c>
      <c r="AD53" s="4">
        <v>1</v>
      </c>
      <c r="AE53" s="4">
        <v>1</v>
      </c>
    </row>
    <row r="54" spans="1:31" s="4" customFormat="1" x14ac:dyDescent="0.25">
      <c r="A54" s="4" t="str">
        <f t="shared" si="2"/>
        <v>هواکش لاستیکی قطر63  100سانتی متر</v>
      </c>
      <c r="B54" s="4">
        <v>1</v>
      </c>
      <c r="C54" s="4" t="s">
        <v>53</v>
      </c>
      <c r="D54" s="4" t="s">
        <v>28</v>
      </c>
      <c r="E54" s="4">
        <v>63</v>
      </c>
      <c r="F54" s="4">
        <v>1</v>
      </c>
      <c r="G54" s="4">
        <v>1</v>
      </c>
      <c r="T54" s="4" t="s">
        <v>32</v>
      </c>
      <c r="U54" s="4" t="s">
        <v>54</v>
      </c>
      <c r="V54" s="4">
        <v>1</v>
      </c>
      <c r="W54" s="4">
        <v>1</v>
      </c>
      <c r="AB54" s="4" t="s">
        <v>47</v>
      </c>
      <c r="AC54" s="4">
        <v>100</v>
      </c>
      <c r="AD54" s="4">
        <v>1</v>
      </c>
      <c r="AE54" s="4">
        <v>1</v>
      </c>
    </row>
    <row r="55" spans="1:31" s="4" customFormat="1" x14ac:dyDescent="0.25">
      <c r="A55" s="4" t="str">
        <f t="shared" si="2"/>
        <v>هواکش لاستیکی قطر70  50سانتی متر</v>
      </c>
      <c r="B55" s="4">
        <v>1</v>
      </c>
      <c r="C55" s="4" t="s">
        <v>53</v>
      </c>
      <c r="D55" s="4" t="s">
        <v>28</v>
      </c>
      <c r="E55" s="4">
        <v>70</v>
      </c>
      <c r="F55" s="4">
        <v>1</v>
      </c>
      <c r="G55" s="4">
        <v>1</v>
      </c>
      <c r="T55" s="4" t="s">
        <v>32</v>
      </c>
      <c r="U55" s="4" t="s">
        <v>54</v>
      </c>
      <c r="V55" s="4">
        <v>1</v>
      </c>
      <c r="W55" s="4">
        <v>1</v>
      </c>
      <c r="AB55" s="4" t="s">
        <v>47</v>
      </c>
      <c r="AC55" s="4">
        <v>50</v>
      </c>
      <c r="AD55" s="4">
        <v>1</v>
      </c>
      <c r="AE55" s="4">
        <v>1</v>
      </c>
    </row>
    <row r="56" spans="1:31" s="4" customFormat="1" x14ac:dyDescent="0.25">
      <c r="A56" s="4" t="str">
        <f t="shared" si="2"/>
        <v>هواکش لاستیکی قطر70  75سانتی متر</v>
      </c>
      <c r="B56" s="4">
        <v>1</v>
      </c>
      <c r="C56" s="4" t="s">
        <v>53</v>
      </c>
      <c r="D56" s="4" t="s">
        <v>28</v>
      </c>
      <c r="E56" s="4">
        <v>70</v>
      </c>
      <c r="F56" s="4">
        <v>1</v>
      </c>
      <c r="G56" s="4">
        <v>1</v>
      </c>
      <c r="T56" s="4" t="s">
        <v>32</v>
      </c>
      <c r="U56" s="4" t="s">
        <v>54</v>
      </c>
      <c r="V56" s="4">
        <v>1</v>
      </c>
      <c r="W56" s="4">
        <v>1</v>
      </c>
      <c r="AB56" s="4" t="s">
        <v>47</v>
      </c>
      <c r="AC56" s="4">
        <v>75</v>
      </c>
      <c r="AD56" s="4">
        <v>1</v>
      </c>
      <c r="AE56" s="4">
        <v>1</v>
      </c>
    </row>
    <row r="57" spans="1:31" s="4" customFormat="1" x14ac:dyDescent="0.25">
      <c r="A57" s="4" t="str">
        <f t="shared" si="2"/>
        <v>هواکش لاستیکی قطر70  100سانتی متر</v>
      </c>
      <c r="B57" s="4">
        <v>1</v>
      </c>
      <c r="C57" s="4" t="s">
        <v>53</v>
      </c>
      <c r="D57" s="4" t="s">
        <v>28</v>
      </c>
      <c r="E57" s="4">
        <v>70</v>
      </c>
      <c r="F57" s="4">
        <v>1</v>
      </c>
      <c r="G57" s="4">
        <v>1</v>
      </c>
      <c r="T57" s="4" t="s">
        <v>32</v>
      </c>
      <c r="U57" s="4" t="s">
        <v>54</v>
      </c>
      <c r="V57" s="4">
        <v>1</v>
      </c>
      <c r="W57" s="4">
        <v>1</v>
      </c>
      <c r="AB57" s="4" t="s">
        <v>47</v>
      </c>
      <c r="AC57" s="4">
        <v>100</v>
      </c>
      <c r="AD57" s="4">
        <v>1</v>
      </c>
      <c r="AE57" s="4">
        <v>1</v>
      </c>
    </row>
    <row r="58" spans="1:31" s="4" customFormat="1" x14ac:dyDescent="0.25">
      <c r="A58" s="4" t="str">
        <f t="shared" si="2"/>
        <v>هواکش لاستیکی قطر76  50سانتی متر</v>
      </c>
      <c r="B58" s="4">
        <v>1</v>
      </c>
      <c r="C58" s="4" t="s">
        <v>53</v>
      </c>
      <c r="D58" s="4" t="s">
        <v>28</v>
      </c>
      <c r="E58" s="4">
        <v>76</v>
      </c>
      <c r="F58" s="4">
        <v>1</v>
      </c>
      <c r="G58" s="4">
        <v>1</v>
      </c>
      <c r="T58" s="4" t="s">
        <v>32</v>
      </c>
      <c r="U58" s="4" t="s">
        <v>54</v>
      </c>
      <c r="V58" s="4">
        <v>1</v>
      </c>
      <c r="W58" s="4">
        <v>1</v>
      </c>
      <c r="AB58" s="4" t="s">
        <v>47</v>
      </c>
      <c r="AC58" s="4">
        <v>50</v>
      </c>
      <c r="AD58" s="4">
        <v>1</v>
      </c>
      <c r="AE58" s="4">
        <v>1</v>
      </c>
    </row>
    <row r="59" spans="1:31" s="4" customFormat="1" x14ac:dyDescent="0.25">
      <c r="A59" s="4" t="str">
        <f t="shared" si="2"/>
        <v>هواکش لاستیکی قطر76  75سانتی متر</v>
      </c>
      <c r="B59" s="4">
        <v>1</v>
      </c>
      <c r="C59" s="4" t="s">
        <v>53</v>
      </c>
      <c r="D59" s="4" t="s">
        <v>28</v>
      </c>
      <c r="E59" s="4">
        <v>76</v>
      </c>
      <c r="F59" s="4">
        <v>1</v>
      </c>
      <c r="G59" s="4">
        <v>1</v>
      </c>
      <c r="T59" s="4" t="s">
        <v>32</v>
      </c>
      <c r="U59" s="4" t="s">
        <v>54</v>
      </c>
      <c r="V59" s="4">
        <v>1</v>
      </c>
      <c r="W59" s="4">
        <v>1</v>
      </c>
      <c r="AB59" s="4" t="s">
        <v>47</v>
      </c>
      <c r="AC59" s="4">
        <v>75</v>
      </c>
      <c r="AD59" s="4">
        <v>1</v>
      </c>
      <c r="AE59" s="4">
        <v>1</v>
      </c>
    </row>
    <row r="60" spans="1:31" s="4" customFormat="1" x14ac:dyDescent="0.25">
      <c r="A60" s="4" t="str">
        <f t="shared" si="2"/>
        <v>هواکش لاستیکی قطر76  100سانتی متر</v>
      </c>
      <c r="B60" s="4">
        <v>1</v>
      </c>
      <c r="C60" s="4" t="s">
        <v>53</v>
      </c>
      <c r="D60" s="4" t="s">
        <v>28</v>
      </c>
      <c r="E60" s="4">
        <v>76</v>
      </c>
      <c r="F60" s="4">
        <v>1</v>
      </c>
      <c r="G60" s="4">
        <v>1</v>
      </c>
      <c r="T60" s="4" t="s">
        <v>32</v>
      </c>
      <c r="U60" s="4" t="s">
        <v>54</v>
      </c>
      <c r="V60" s="4">
        <v>1</v>
      </c>
      <c r="W60" s="4">
        <v>1</v>
      </c>
      <c r="AB60" s="4" t="s">
        <v>47</v>
      </c>
      <c r="AC60" s="4">
        <v>100</v>
      </c>
      <c r="AD60" s="4">
        <v>1</v>
      </c>
      <c r="AE60" s="4">
        <v>1</v>
      </c>
    </row>
    <row r="61" spans="1:31" s="4" customFormat="1" x14ac:dyDescent="0.25">
      <c r="A61" s="4" t="str">
        <f t="shared" si="2"/>
        <v>هواکش لاستیکی قطر80  50سانتی متر</v>
      </c>
      <c r="B61" s="4">
        <v>1</v>
      </c>
      <c r="C61" s="4" t="s">
        <v>53</v>
      </c>
      <c r="D61" s="4" t="s">
        <v>28</v>
      </c>
      <c r="E61" s="4">
        <v>80</v>
      </c>
      <c r="F61" s="4">
        <v>1</v>
      </c>
      <c r="G61" s="4">
        <v>1</v>
      </c>
      <c r="T61" s="4" t="s">
        <v>32</v>
      </c>
      <c r="U61" s="4" t="s">
        <v>54</v>
      </c>
      <c r="V61" s="4">
        <v>1</v>
      </c>
      <c r="W61" s="4">
        <v>1</v>
      </c>
      <c r="AB61" s="4" t="s">
        <v>47</v>
      </c>
      <c r="AC61" s="4">
        <v>50</v>
      </c>
      <c r="AD61" s="4">
        <v>1</v>
      </c>
      <c r="AE61" s="4">
        <v>1</v>
      </c>
    </row>
    <row r="62" spans="1:31" s="4" customFormat="1" x14ac:dyDescent="0.25">
      <c r="A62" s="4" t="str">
        <f t="shared" si="2"/>
        <v>هواکش لاستیکی قطر80  75سانتی متر</v>
      </c>
      <c r="B62" s="4">
        <v>1</v>
      </c>
      <c r="C62" s="4" t="s">
        <v>53</v>
      </c>
      <c r="D62" s="4" t="s">
        <v>28</v>
      </c>
      <c r="E62" s="4">
        <v>80</v>
      </c>
      <c r="F62" s="4">
        <v>1</v>
      </c>
      <c r="G62" s="4">
        <v>1</v>
      </c>
      <c r="T62" s="4" t="s">
        <v>32</v>
      </c>
      <c r="U62" s="4" t="s">
        <v>54</v>
      </c>
      <c r="V62" s="4">
        <v>1</v>
      </c>
      <c r="W62" s="4">
        <v>1</v>
      </c>
      <c r="AB62" s="4" t="s">
        <v>47</v>
      </c>
      <c r="AC62" s="4">
        <v>75</v>
      </c>
      <c r="AD62" s="4">
        <v>1</v>
      </c>
      <c r="AE62" s="4">
        <v>1</v>
      </c>
    </row>
    <row r="63" spans="1:31" s="4" customFormat="1" x14ac:dyDescent="0.25">
      <c r="A63" s="4" t="str">
        <f t="shared" si="2"/>
        <v>هواکش لاستیکی قطر80  100سانتی متر</v>
      </c>
      <c r="B63" s="4">
        <v>1</v>
      </c>
      <c r="C63" s="4" t="s">
        <v>53</v>
      </c>
      <c r="D63" s="4" t="s">
        <v>28</v>
      </c>
      <c r="E63" s="4">
        <v>80</v>
      </c>
      <c r="F63" s="4">
        <v>1</v>
      </c>
      <c r="G63" s="4">
        <v>1</v>
      </c>
      <c r="T63" s="4" t="s">
        <v>32</v>
      </c>
      <c r="U63" s="4" t="s">
        <v>54</v>
      </c>
      <c r="V63" s="4">
        <v>1</v>
      </c>
      <c r="W63" s="4">
        <v>1</v>
      </c>
      <c r="AB63" s="4" t="s">
        <v>47</v>
      </c>
      <c r="AC63" s="4">
        <v>100</v>
      </c>
      <c r="AD63" s="4">
        <v>1</v>
      </c>
      <c r="AE63" s="4">
        <v>1</v>
      </c>
    </row>
    <row r="64" spans="1:31" s="4" customFormat="1" x14ac:dyDescent="0.25">
      <c r="A64" s="4" t="str">
        <f t="shared" si="2"/>
        <v>هواکش لاستیکی قطر89  50سانتی متر</v>
      </c>
      <c r="B64" s="4">
        <v>1</v>
      </c>
      <c r="C64" s="4" t="s">
        <v>53</v>
      </c>
      <c r="D64" s="4" t="s">
        <v>28</v>
      </c>
      <c r="E64" s="4">
        <v>89</v>
      </c>
      <c r="F64" s="4">
        <v>1</v>
      </c>
      <c r="G64" s="4">
        <v>1</v>
      </c>
      <c r="T64" s="4" t="s">
        <v>32</v>
      </c>
      <c r="U64" s="4" t="s">
        <v>54</v>
      </c>
      <c r="V64" s="4">
        <v>1</v>
      </c>
      <c r="W64" s="4">
        <v>1</v>
      </c>
      <c r="AB64" s="4" t="s">
        <v>47</v>
      </c>
      <c r="AC64" s="4">
        <v>50</v>
      </c>
      <c r="AD64" s="4">
        <v>1</v>
      </c>
      <c r="AE64" s="4">
        <v>1</v>
      </c>
    </row>
    <row r="65" spans="1:35" s="4" customFormat="1" x14ac:dyDescent="0.25">
      <c r="A65" s="4" t="str">
        <f t="shared" si="2"/>
        <v>هواکش لاستیکی قطر89  75سانتی متر</v>
      </c>
      <c r="B65" s="4">
        <v>1</v>
      </c>
      <c r="C65" s="4" t="s">
        <v>53</v>
      </c>
      <c r="D65" s="4" t="s">
        <v>28</v>
      </c>
      <c r="E65" s="4">
        <v>89</v>
      </c>
      <c r="F65" s="4">
        <v>1</v>
      </c>
      <c r="G65" s="4">
        <v>1</v>
      </c>
      <c r="T65" s="4" t="s">
        <v>32</v>
      </c>
      <c r="U65" s="4" t="s">
        <v>54</v>
      </c>
      <c r="V65" s="4">
        <v>1</v>
      </c>
      <c r="W65" s="4">
        <v>1</v>
      </c>
      <c r="AB65" s="4" t="s">
        <v>47</v>
      </c>
      <c r="AC65" s="4">
        <v>75</v>
      </c>
      <c r="AD65" s="4">
        <v>1</v>
      </c>
      <c r="AE65" s="4">
        <v>1</v>
      </c>
    </row>
    <row r="66" spans="1:35" s="4" customFormat="1" x14ac:dyDescent="0.25">
      <c r="A66" s="4" t="str">
        <f t="shared" si="2"/>
        <v>هواکش لاستیکی قطر89  100سانتی متر</v>
      </c>
      <c r="B66" s="4">
        <v>1</v>
      </c>
      <c r="C66" s="4" t="s">
        <v>53</v>
      </c>
      <c r="D66" s="4" t="s">
        <v>28</v>
      </c>
      <c r="E66" s="4">
        <v>89</v>
      </c>
      <c r="F66" s="4">
        <v>1</v>
      </c>
      <c r="G66" s="4">
        <v>1</v>
      </c>
      <c r="T66" s="4" t="s">
        <v>32</v>
      </c>
      <c r="U66" s="4" t="s">
        <v>54</v>
      </c>
      <c r="V66" s="4">
        <v>1</v>
      </c>
      <c r="W66" s="4">
        <v>1</v>
      </c>
      <c r="AB66" s="4" t="s">
        <v>47</v>
      </c>
      <c r="AC66" s="4">
        <v>100</v>
      </c>
      <c r="AD66" s="4">
        <v>1</v>
      </c>
      <c r="AE66" s="4">
        <v>1</v>
      </c>
    </row>
    <row r="67" spans="1:35" s="4" customFormat="1" x14ac:dyDescent="0.25">
      <c r="A67" s="4" t="str">
        <f t="shared" si="2"/>
        <v>هواکش لاستیکی قطر102  50سانتی متر</v>
      </c>
      <c r="B67" s="4">
        <v>1</v>
      </c>
      <c r="C67" s="4" t="s">
        <v>53</v>
      </c>
      <c r="D67" s="4" t="s">
        <v>28</v>
      </c>
      <c r="E67" s="4">
        <v>102</v>
      </c>
      <c r="F67" s="4">
        <v>1</v>
      </c>
      <c r="G67" s="4">
        <v>1</v>
      </c>
      <c r="T67" s="4" t="s">
        <v>32</v>
      </c>
      <c r="U67" s="4" t="s">
        <v>54</v>
      </c>
      <c r="V67" s="4">
        <v>1</v>
      </c>
      <c r="W67" s="4">
        <v>1</v>
      </c>
      <c r="AB67" s="4" t="s">
        <v>47</v>
      </c>
      <c r="AC67" s="4">
        <v>50</v>
      </c>
      <c r="AD67" s="4">
        <v>1</v>
      </c>
      <c r="AE67" s="4">
        <v>1</v>
      </c>
    </row>
    <row r="68" spans="1:35" s="4" customFormat="1" ht="15.75" customHeight="1" x14ac:dyDescent="0.25">
      <c r="A68" s="4" t="str">
        <f t="shared" si="2"/>
        <v>هواکش لاستیکی قطر102  75سانتی متر</v>
      </c>
      <c r="B68" s="4">
        <v>1</v>
      </c>
      <c r="C68" s="4" t="s">
        <v>53</v>
      </c>
      <c r="D68" s="4" t="s">
        <v>28</v>
      </c>
      <c r="E68" s="4">
        <v>102</v>
      </c>
      <c r="F68" s="4">
        <v>1</v>
      </c>
      <c r="G68" s="4">
        <v>1</v>
      </c>
      <c r="T68" s="4" t="s">
        <v>32</v>
      </c>
      <c r="U68" s="4" t="s">
        <v>54</v>
      </c>
      <c r="V68" s="4">
        <v>1</v>
      </c>
      <c r="W68" s="4">
        <v>1</v>
      </c>
      <c r="AB68" s="4" t="s">
        <v>47</v>
      </c>
      <c r="AC68" s="4">
        <v>75</v>
      </c>
      <c r="AD68" s="4">
        <v>1</v>
      </c>
      <c r="AE68" s="4">
        <v>1</v>
      </c>
    </row>
    <row r="69" spans="1:35" s="5" customFormat="1" x14ac:dyDescent="0.25">
      <c r="A69" s="4" t="str">
        <f t="shared" si="2"/>
        <v>هواکش لاستیکی قطر102  100سانتی متر</v>
      </c>
      <c r="B69" s="5">
        <v>1</v>
      </c>
      <c r="C69" s="5" t="s">
        <v>53</v>
      </c>
      <c r="D69" s="5" t="s">
        <v>28</v>
      </c>
      <c r="E69" s="5">
        <v>102</v>
      </c>
      <c r="F69" s="5">
        <v>1</v>
      </c>
      <c r="G69" s="5">
        <v>1</v>
      </c>
      <c r="U69" s="5" t="s">
        <v>54</v>
      </c>
      <c r="V69" s="5">
        <v>1</v>
      </c>
      <c r="W69" s="5">
        <v>1</v>
      </c>
      <c r="AB69" s="5" t="s">
        <v>47</v>
      </c>
      <c r="AC69" s="4">
        <v>100</v>
      </c>
      <c r="AD69" s="4">
        <v>1</v>
      </c>
      <c r="AE69" s="4">
        <v>1</v>
      </c>
    </row>
    <row r="70" spans="1:35" s="6" customFormat="1" x14ac:dyDescent="0.25">
      <c r="A70" s="6" t="str">
        <f>"بست استیل فنردار "&amp; " سایز "&amp; AG70 &amp; "ضخامت " &amp; M70</f>
        <v>بست استیل فنردار  سایز 79-74ضخامت 0.8</v>
      </c>
      <c r="B70" s="6">
        <v>1</v>
      </c>
      <c r="C70" s="6" t="s">
        <v>55</v>
      </c>
      <c r="D70" s="7"/>
      <c r="E70" s="8"/>
      <c r="F70" s="7"/>
      <c r="G70" s="7"/>
      <c r="L70" s="6" t="s">
        <v>30</v>
      </c>
      <c r="M70" s="6">
        <v>0.8</v>
      </c>
      <c r="N70" s="6">
        <v>1</v>
      </c>
      <c r="O70" s="6">
        <v>1</v>
      </c>
      <c r="T70" s="7" t="s">
        <v>32</v>
      </c>
      <c r="U70" s="6" t="s">
        <v>72</v>
      </c>
      <c r="V70" s="7">
        <v>1</v>
      </c>
      <c r="W70" s="7">
        <v>1</v>
      </c>
      <c r="AF70" s="6" t="s">
        <v>77</v>
      </c>
      <c r="AG70" s="8" t="s">
        <v>64</v>
      </c>
      <c r="AH70" s="6">
        <v>1</v>
      </c>
      <c r="AI70" s="6">
        <v>1</v>
      </c>
    </row>
    <row r="71" spans="1:35" s="6" customFormat="1" x14ac:dyDescent="0.25">
      <c r="A71" s="6" t="str">
        <f t="shared" ref="A71:A77" si="3">"بست استیل فنردار "&amp; " سایز "&amp; AG71 &amp; "ضخامت " &amp; M71</f>
        <v>بست استیل فنردار  سایز 85-80ضخامت 0.8</v>
      </c>
      <c r="B71" s="6">
        <v>1</v>
      </c>
      <c r="C71" s="6" t="s">
        <v>55</v>
      </c>
      <c r="D71" s="7"/>
      <c r="E71" s="8"/>
      <c r="F71" s="7"/>
      <c r="G71" s="7"/>
      <c r="L71" s="6" t="s">
        <v>30</v>
      </c>
      <c r="M71" s="6">
        <v>0.8</v>
      </c>
      <c r="N71" s="6">
        <v>1</v>
      </c>
      <c r="O71" s="6">
        <v>1</v>
      </c>
      <c r="T71" s="7" t="s">
        <v>32</v>
      </c>
      <c r="U71" s="6" t="s">
        <v>72</v>
      </c>
      <c r="V71" s="7">
        <v>1</v>
      </c>
      <c r="W71" s="7">
        <v>1</v>
      </c>
      <c r="AF71" s="6" t="s">
        <v>77</v>
      </c>
      <c r="AG71" s="8" t="s">
        <v>65</v>
      </c>
      <c r="AH71" s="6">
        <v>1</v>
      </c>
      <c r="AI71" s="6">
        <v>1</v>
      </c>
    </row>
    <row r="72" spans="1:35" s="6" customFormat="1" x14ac:dyDescent="0.25">
      <c r="A72" s="6" t="str">
        <f t="shared" si="3"/>
        <v>بست استیل فنردار  سایز 91-86ضخامت 0.8</v>
      </c>
      <c r="B72" s="6">
        <v>1</v>
      </c>
      <c r="C72" s="6" t="s">
        <v>55</v>
      </c>
      <c r="D72" s="7"/>
      <c r="E72" s="8"/>
      <c r="F72" s="7"/>
      <c r="G72" s="7"/>
      <c r="L72" s="6" t="s">
        <v>30</v>
      </c>
      <c r="M72" s="6">
        <v>0.8</v>
      </c>
      <c r="N72" s="6">
        <v>1</v>
      </c>
      <c r="O72" s="6">
        <v>1</v>
      </c>
      <c r="T72" s="7" t="s">
        <v>32</v>
      </c>
      <c r="U72" s="6" t="s">
        <v>72</v>
      </c>
      <c r="V72" s="7">
        <v>1</v>
      </c>
      <c r="W72" s="7">
        <v>1</v>
      </c>
      <c r="AF72" s="6" t="s">
        <v>77</v>
      </c>
      <c r="AG72" s="8" t="s">
        <v>66</v>
      </c>
      <c r="AH72" s="6">
        <v>1</v>
      </c>
      <c r="AI72" s="6">
        <v>1</v>
      </c>
    </row>
    <row r="73" spans="1:35" s="6" customFormat="1" x14ac:dyDescent="0.25">
      <c r="A73" s="6" t="str">
        <f t="shared" si="3"/>
        <v>بست استیل فنردار  سایز 97-92ضخامت 0.8</v>
      </c>
      <c r="B73" s="6">
        <v>1</v>
      </c>
      <c r="C73" s="6" t="s">
        <v>55</v>
      </c>
      <c r="D73" s="7"/>
      <c r="E73" s="8"/>
      <c r="F73" s="7"/>
      <c r="G73" s="7"/>
      <c r="L73" s="6" t="s">
        <v>30</v>
      </c>
      <c r="M73" s="6">
        <v>0.8</v>
      </c>
      <c r="N73" s="6">
        <v>1</v>
      </c>
      <c r="O73" s="6">
        <v>1</v>
      </c>
      <c r="T73" s="7" t="s">
        <v>32</v>
      </c>
      <c r="U73" s="6" t="s">
        <v>72</v>
      </c>
      <c r="V73" s="7">
        <v>1</v>
      </c>
      <c r="W73" s="7">
        <v>1</v>
      </c>
      <c r="AF73" s="6" t="s">
        <v>77</v>
      </c>
      <c r="AG73" s="8" t="s">
        <v>67</v>
      </c>
      <c r="AH73" s="6">
        <v>1</v>
      </c>
      <c r="AI73" s="6">
        <v>1</v>
      </c>
    </row>
    <row r="74" spans="1:35" s="6" customFormat="1" x14ac:dyDescent="0.25">
      <c r="A74" s="6" t="str">
        <f t="shared" si="3"/>
        <v>بست استیل فنردار  سایز 103-98ضخامت 0.8</v>
      </c>
      <c r="B74" s="6">
        <v>1</v>
      </c>
      <c r="C74" s="6" t="s">
        <v>55</v>
      </c>
      <c r="D74" s="7"/>
      <c r="E74" s="8"/>
      <c r="F74" s="7"/>
      <c r="G74" s="7"/>
      <c r="L74" s="6" t="s">
        <v>30</v>
      </c>
      <c r="M74" s="6">
        <v>0.8</v>
      </c>
      <c r="N74" s="6">
        <v>1</v>
      </c>
      <c r="O74" s="6">
        <v>1</v>
      </c>
      <c r="T74" s="7" t="s">
        <v>32</v>
      </c>
      <c r="U74" s="6" t="s">
        <v>72</v>
      </c>
      <c r="V74" s="7">
        <v>1</v>
      </c>
      <c r="W74" s="7">
        <v>1</v>
      </c>
      <c r="AF74" s="6" t="s">
        <v>77</v>
      </c>
      <c r="AG74" s="8" t="s">
        <v>68</v>
      </c>
      <c r="AH74" s="6">
        <v>1</v>
      </c>
      <c r="AI74" s="6">
        <v>1</v>
      </c>
    </row>
    <row r="75" spans="1:35" s="6" customFormat="1" x14ac:dyDescent="0.25">
      <c r="A75" s="6" t="str">
        <f t="shared" si="3"/>
        <v>بست استیل فنردار  سایز 112-104ضخامت 0.8</v>
      </c>
      <c r="B75" s="6">
        <v>1</v>
      </c>
      <c r="C75" s="6" t="s">
        <v>55</v>
      </c>
      <c r="D75" s="7"/>
      <c r="E75" s="8"/>
      <c r="F75" s="7"/>
      <c r="G75" s="7"/>
      <c r="L75" s="6" t="s">
        <v>30</v>
      </c>
      <c r="M75" s="6">
        <v>0.8</v>
      </c>
      <c r="N75" s="6">
        <v>1</v>
      </c>
      <c r="O75" s="6">
        <v>1</v>
      </c>
      <c r="T75" s="7" t="s">
        <v>32</v>
      </c>
      <c r="U75" s="6" t="s">
        <v>72</v>
      </c>
      <c r="V75" s="7">
        <v>1</v>
      </c>
      <c r="W75" s="7">
        <v>1</v>
      </c>
      <c r="AF75" s="6" t="s">
        <v>77</v>
      </c>
      <c r="AG75" s="8" t="s">
        <v>69</v>
      </c>
      <c r="AH75" s="6">
        <v>1</v>
      </c>
      <c r="AI75" s="6">
        <v>1</v>
      </c>
    </row>
    <row r="76" spans="1:35" s="6" customFormat="1" x14ac:dyDescent="0.25">
      <c r="A76" s="6" t="str">
        <f t="shared" si="3"/>
        <v>بست استیل فنردار  سایز 121-113ضخامت 0.8</v>
      </c>
      <c r="B76" s="6">
        <v>1</v>
      </c>
      <c r="C76" s="6" t="s">
        <v>55</v>
      </c>
      <c r="D76" s="7"/>
      <c r="E76" s="8"/>
      <c r="F76" s="7"/>
      <c r="G76" s="7"/>
      <c r="L76" s="6" t="s">
        <v>30</v>
      </c>
      <c r="M76" s="6">
        <v>0.8</v>
      </c>
      <c r="N76" s="6">
        <v>1</v>
      </c>
      <c r="O76" s="6">
        <v>1</v>
      </c>
      <c r="T76" s="7" t="s">
        <v>32</v>
      </c>
      <c r="U76" s="6" t="s">
        <v>72</v>
      </c>
      <c r="V76" s="7">
        <v>1</v>
      </c>
      <c r="W76" s="7">
        <v>1</v>
      </c>
      <c r="AF76" s="6" t="s">
        <v>77</v>
      </c>
      <c r="AG76" s="8" t="s">
        <v>70</v>
      </c>
      <c r="AH76" s="6">
        <v>1</v>
      </c>
      <c r="AI76" s="6">
        <v>1</v>
      </c>
    </row>
    <row r="77" spans="1:35" s="6" customFormat="1" x14ac:dyDescent="0.25">
      <c r="A77" s="6" t="str">
        <f t="shared" si="3"/>
        <v>بست استیل فنردار  سایز 130-122ضخامت 1</v>
      </c>
      <c r="B77" s="6">
        <v>1</v>
      </c>
      <c r="C77" s="6" t="s">
        <v>55</v>
      </c>
      <c r="D77" s="7"/>
      <c r="E77" s="8"/>
      <c r="F77" s="7"/>
      <c r="G77" s="7"/>
      <c r="L77" s="6" t="s">
        <v>30</v>
      </c>
      <c r="M77" s="6">
        <v>1</v>
      </c>
      <c r="N77" s="6">
        <v>1</v>
      </c>
      <c r="O77" s="6">
        <v>1</v>
      </c>
      <c r="T77" s="7" t="s">
        <v>32</v>
      </c>
      <c r="U77" s="6" t="s">
        <v>72</v>
      </c>
      <c r="V77" s="7">
        <v>1</v>
      </c>
      <c r="W77" s="7">
        <v>1</v>
      </c>
      <c r="AF77" s="6" t="s">
        <v>77</v>
      </c>
      <c r="AG77" s="8" t="s">
        <v>71</v>
      </c>
      <c r="AH77" s="6">
        <v>1</v>
      </c>
      <c r="AI77" s="6">
        <v>1</v>
      </c>
    </row>
    <row r="78" spans="1:35" s="9" customFormat="1" ht="15.75" x14ac:dyDescent="0.25">
      <c r="A78" s="9" t="str">
        <f>"بست استیل آچاری "&amp; " سایز "&amp; AG78 &amp; "ضخامت " &amp; M78</f>
        <v>بست استیل آچاری  سایز 17-19ضخامت 0.6</v>
      </c>
      <c r="B78" s="9">
        <v>1</v>
      </c>
      <c r="C78" s="9" t="s">
        <v>78</v>
      </c>
      <c r="L78" s="9" t="s">
        <v>30</v>
      </c>
      <c r="M78" s="9">
        <v>0.6</v>
      </c>
      <c r="N78" s="9">
        <v>1</v>
      </c>
      <c r="O78" s="9">
        <v>1</v>
      </c>
      <c r="T78" s="10" t="s">
        <v>32</v>
      </c>
      <c r="U78" s="9" t="s">
        <v>72</v>
      </c>
      <c r="V78" s="10">
        <v>1</v>
      </c>
      <c r="W78" s="10">
        <v>1</v>
      </c>
      <c r="AF78" s="9" t="s">
        <v>77</v>
      </c>
      <c r="AG78" s="11" t="s">
        <v>79</v>
      </c>
      <c r="AH78" s="9">
        <v>1</v>
      </c>
      <c r="AI78" s="9">
        <v>1</v>
      </c>
    </row>
    <row r="79" spans="1:35" s="9" customFormat="1" ht="15.75" x14ac:dyDescent="0.25">
      <c r="A79" s="9" t="str">
        <f t="shared" ref="A79:A110" si="4">"بست استیل آچاری "&amp; " سایز "&amp; AG79 &amp; "ضخامت " &amp; M79</f>
        <v>بست استیل آچاری  سایز 20-22ضخامت 0.6</v>
      </c>
      <c r="B79" s="9">
        <v>1</v>
      </c>
      <c r="C79" s="9" t="s">
        <v>78</v>
      </c>
      <c r="L79" s="9" t="s">
        <v>30</v>
      </c>
      <c r="M79" s="9">
        <v>0.6</v>
      </c>
      <c r="N79" s="9">
        <v>1</v>
      </c>
      <c r="O79" s="9">
        <v>1</v>
      </c>
      <c r="T79" s="10" t="s">
        <v>32</v>
      </c>
      <c r="U79" s="9" t="s">
        <v>72</v>
      </c>
      <c r="V79" s="10">
        <v>1</v>
      </c>
      <c r="W79" s="10">
        <v>1</v>
      </c>
      <c r="AF79" s="9" t="s">
        <v>77</v>
      </c>
      <c r="AG79" s="11" t="s">
        <v>80</v>
      </c>
      <c r="AH79" s="9">
        <v>1</v>
      </c>
      <c r="AI79" s="9">
        <v>1</v>
      </c>
    </row>
    <row r="80" spans="1:35" s="9" customFormat="1" ht="15.75" x14ac:dyDescent="0.25">
      <c r="A80" s="9" t="str">
        <f t="shared" si="4"/>
        <v>بست استیل آچاری  سایز 23-25ضخامت 0.6</v>
      </c>
      <c r="B80" s="9">
        <v>1</v>
      </c>
      <c r="C80" s="12" t="s">
        <v>78</v>
      </c>
      <c r="L80" s="9" t="s">
        <v>30</v>
      </c>
      <c r="M80" s="9">
        <v>0.6</v>
      </c>
      <c r="N80" s="9">
        <v>1</v>
      </c>
      <c r="O80" s="9">
        <v>1</v>
      </c>
      <c r="T80" s="10" t="s">
        <v>32</v>
      </c>
      <c r="U80" s="9" t="s">
        <v>72</v>
      </c>
      <c r="V80" s="10">
        <v>1</v>
      </c>
      <c r="W80" s="10">
        <v>1</v>
      </c>
      <c r="AF80" s="9" t="s">
        <v>77</v>
      </c>
      <c r="AG80" s="11" t="s">
        <v>81</v>
      </c>
      <c r="AH80" s="9">
        <v>1</v>
      </c>
      <c r="AI80" s="9">
        <v>1</v>
      </c>
    </row>
    <row r="81" spans="1:35" s="9" customFormat="1" ht="15.75" x14ac:dyDescent="0.25">
      <c r="A81" s="9" t="str">
        <f t="shared" si="4"/>
        <v>بست استیل آچاری  سایز 26-28ضخامت 0.6</v>
      </c>
      <c r="B81" s="9">
        <v>1</v>
      </c>
      <c r="C81" s="12" t="s">
        <v>78</v>
      </c>
      <c r="L81" s="9" t="s">
        <v>30</v>
      </c>
      <c r="M81" s="9">
        <v>0.6</v>
      </c>
      <c r="N81" s="9">
        <v>1</v>
      </c>
      <c r="O81" s="9">
        <v>1</v>
      </c>
      <c r="T81" s="10" t="s">
        <v>32</v>
      </c>
      <c r="U81" s="9" t="s">
        <v>72</v>
      </c>
      <c r="V81" s="10">
        <v>1</v>
      </c>
      <c r="W81" s="10">
        <v>1</v>
      </c>
      <c r="AF81" s="9" t="s">
        <v>77</v>
      </c>
      <c r="AG81" s="11" t="s">
        <v>82</v>
      </c>
      <c r="AH81" s="9">
        <v>1</v>
      </c>
      <c r="AI81" s="9">
        <v>1</v>
      </c>
    </row>
    <row r="82" spans="1:35" s="9" customFormat="1" ht="15.75" x14ac:dyDescent="0.25">
      <c r="A82" s="9" t="str">
        <f t="shared" si="4"/>
        <v>بست استیل آچاری  سایز 29-31ضخامت 0.6</v>
      </c>
      <c r="B82" s="9">
        <v>1</v>
      </c>
      <c r="C82" s="12" t="s">
        <v>78</v>
      </c>
      <c r="L82" s="9" t="s">
        <v>30</v>
      </c>
      <c r="M82" s="9">
        <v>0.6</v>
      </c>
      <c r="N82" s="9">
        <v>1</v>
      </c>
      <c r="O82" s="9">
        <v>1</v>
      </c>
      <c r="T82" s="10" t="s">
        <v>32</v>
      </c>
      <c r="U82" s="9" t="s">
        <v>72</v>
      </c>
      <c r="V82" s="10">
        <v>1</v>
      </c>
      <c r="W82" s="10">
        <v>1</v>
      </c>
      <c r="AF82" s="9" t="s">
        <v>77</v>
      </c>
      <c r="AG82" s="11" t="s">
        <v>83</v>
      </c>
      <c r="AH82" s="9">
        <v>1</v>
      </c>
      <c r="AI82" s="9">
        <v>1</v>
      </c>
    </row>
    <row r="83" spans="1:35" s="9" customFormat="1" ht="15.75" x14ac:dyDescent="0.25">
      <c r="A83" s="9" t="str">
        <f t="shared" si="4"/>
        <v>بست استیل آچاری  سایز 32-35ضخامت 0.6</v>
      </c>
      <c r="B83" s="9">
        <v>1</v>
      </c>
      <c r="C83" s="12" t="s">
        <v>78</v>
      </c>
      <c r="L83" s="9" t="s">
        <v>30</v>
      </c>
      <c r="M83" s="9">
        <v>0.6</v>
      </c>
      <c r="N83" s="9">
        <v>1</v>
      </c>
      <c r="O83" s="9">
        <v>1</v>
      </c>
      <c r="T83" s="10" t="s">
        <v>32</v>
      </c>
      <c r="U83" s="9" t="s">
        <v>72</v>
      </c>
      <c r="V83" s="10">
        <v>1</v>
      </c>
      <c r="W83" s="10">
        <v>1</v>
      </c>
      <c r="AF83" s="9" t="s">
        <v>77</v>
      </c>
      <c r="AG83" s="11" t="s">
        <v>84</v>
      </c>
      <c r="AH83" s="9">
        <v>1</v>
      </c>
      <c r="AI83" s="9">
        <v>1</v>
      </c>
    </row>
    <row r="84" spans="1:35" s="9" customFormat="1" ht="15.75" x14ac:dyDescent="0.25">
      <c r="A84" s="9" t="str">
        <f t="shared" si="4"/>
        <v>بست استیل آچاری  سایز 36-39ضخامت 0.6</v>
      </c>
      <c r="B84" s="9">
        <v>1</v>
      </c>
      <c r="C84" s="12" t="s">
        <v>78</v>
      </c>
      <c r="L84" s="9" t="s">
        <v>30</v>
      </c>
      <c r="M84" s="9">
        <v>0.6</v>
      </c>
      <c r="N84" s="9">
        <v>1</v>
      </c>
      <c r="O84" s="9">
        <v>1</v>
      </c>
      <c r="T84" s="10" t="s">
        <v>32</v>
      </c>
      <c r="U84" s="9" t="s">
        <v>72</v>
      </c>
      <c r="V84" s="10">
        <v>1</v>
      </c>
      <c r="W84" s="10">
        <v>1</v>
      </c>
      <c r="AF84" s="9" t="s">
        <v>77</v>
      </c>
      <c r="AG84" s="11" t="s">
        <v>85</v>
      </c>
      <c r="AH84" s="9">
        <v>1</v>
      </c>
      <c r="AI84" s="9">
        <v>1</v>
      </c>
    </row>
    <row r="85" spans="1:35" s="9" customFormat="1" ht="15.75" x14ac:dyDescent="0.25">
      <c r="A85" s="9" t="str">
        <f t="shared" si="4"/>
        <v>بست استیل آچاری  سایز 40-43ضخامت 0.6</v>
      </c>
      <c r="B85" s="9">
        <v>1</v>
      </c>
      <c r="C85" s="12" t="s">
        <v>78</v>
      </c>
      <c r="L85" s="9" t="s">
        <v>30</v>
      </c>
      <c r="M85" s="9">
        <v>0.6</v>
      </c>
      <c r="N85" s="9">
        <v>1</v>
      </c>
      <c r="O85" s="9">
        <v>1</v>
      </c>
      <c r="T85" s="10" t="s">
        <v>32</v>
      </c>
      <c r="U85" s="9" t="s">
        <v>72</v>
      </c>
      <c r="V85" s="10">
        <v>1</v>
      </c>
      <c r="W85" s="10">
        <v>1</v>
      </c>
      <c r="AF85" s="9" t="s">
        <v>77</v>
      </c>
      <c r="AG85" s="11" t="s">
        <v>86</v>
      </c>
      <c r="AH85" s="9">
        <v>1</v>
      </c>
      <c r="AI85" s="9">
        <v>1</v>
      </c>
    </row>
    <row r="86" spans="1:35" s="9" customFormat="1" ht="15.75" x14ac:dyDescent="0.25">
      <c r="A86" s="9" t="str">
        <f t="shared" si="4"/>
        <v>بست استیل آچاری  سایز 44-47ضخامت 0.8</v>
      </c>
      <c r="B86" s="9">
        <v>1</v>
      </c>
      <c r="C86" s="12" t="s">
        <v>78</v>
      </c>
      <c r="L86" s="9" t="s">
        <v>30</v>
      </c>
      <c r="M86" s="9">
        <v>0.8</v>
      </c>
      <c r="N86" s="9">
        <v>1</v>
      </c>
      <c r="O86" s="9">
        <v>1</v>
      </c>
      <c r="T86" s="10" t="s">
        <v>32</v>
      </c>
      <c r="U86" s="9" t="s">
        <v>72</v>
      </c>
      <c r="V86" s="10">
        <v>1</v>
      </c>
      <c r="W86" s="10">
        <v>1</v>
      </c>
      <c r="AF86" s="9" t="s">
        <v>77</v>
      </c>
      <c r="AG86" s="11" t="s">
        <v>87</v>
      </c>
      <c r="AH86" s="9">
        <v>1</v>
      </c>
      <c r="AI86" s="9">
        <v>1</v>
      </c>
    </row>
    <row r="87" spans="1:35" s="9" customFormat="1" ht="15.75" x14ac:dyDescent="0.25">
      <c r="A87" s="9" t="str">
        <f t="shared" si="4"/>
        <v>بست استیل آچاری  سایز 48-51ضخامت 0.8</v>
      </c>
      <c r="B87" s="9">
        <v>1</v>
      </c>
      <c r="C87" s="12" t="s">
        <v>78</v>
      </c>
      <c r="L87" s="9" t="s">
        <v>30</v>
      </c>
      <c r="M87" s="9">
        <v>0.8</v>
      </c>
      <c r="N87" s="9">
        <v>1</v>
      </c>
      <c r="O87" s="9">
        <v>1</v>
      </c>
      <c r="T87" s="10" t="s">
        <v>32</v>
      </c>
      <c r="U87" s="9" t="s">
        <v>72</v>
      </c>
      <c r="V87" s="10">
        <v>1</v>
      </c>
      <c r="W87" s="10">
        <v>1</v>
      </c>
      <c r="AF87" s="9" t="s">
        <v>77</v>
      </c>
      <c r="AG87" s="11" t="s">
        <v>88</v>
      </c>
      <c r="AH87" s="9">
        <v>1</v>
      </c>
      <c r="AI87" s="9">
        <v>1</v>
      </c>
    </row>
    <row r="88" spans="1:35" s="9" customFormat="1" ht="15.75" x14ac:dyDescent="0.25">
      <c r="A88" s="9" t="str">
        <f t="shared" si="4"/>
        <v>بست استیل آچاری  سایز 52-55ضخامت 0.8</v>
      </c>
      <c r="B88" s="9">
        <v>1</v>
      </c>
      <c r="C88" s="12" t="s">
        <v>78</v>
      </c>
      <c r="L88" s="9" t="s">
        <v>30</v>
      </c>
      <c r="M88" s="9">
        <v>0.8</v>
      </c>
      <c r="N88" s="9">
        <v>1</v>
      </c>
      <c r="O88" s="9">
        <v>1</v>
      </c>
      <c r="T88" s="10" t="s">
        <v>32</v>
      </c>
      <c r="U88" s="9" t="s">
        <v>72</v>
      </c>
      <c r="V88" s="10">
        <v>1</v>
      </c>
      <c r="W88" s="10">
        <v>1</v>
      </c>
      <c r="AF88" s="9" t="s">
        <v>77</v>
      </c>
      <c r="AG88" s="11" t="s">
        <v>89</v>
      </c>
      <c r="AH88" s="9">
        <v>1</v>
      </c>
      <c r="AI88" s="9">
        <v>1</v>
      </c>
    </row>
    <row r="89" spans="1:35" s="9" customFormat="1" ht="15.75" x14ac:dyDescent="0.25">
      <c r="A89" s="9" t="str">
        <f t="shared" si="4"/>
        <v>بست استیل آچاری  سایز 56-59ضخامت 0.8</v>
      </c>
      <c r="B89" s="9">
        <v>1</v>
      </c>
      <c r="C89" s="12" t="s">
        <v>78</v>
      </c>
      <c r="L89" s="9" t="s">
        <v>30</v>
      </c>
      <c r="M89" s="9">
        <v>0.8</v>
      </c>
      <c r="N89" s="9">
        <v>1</v>
      </c>
      <c r="O89" s="9">
        <v>1</v>
      </c>
      <c r="T89" s="10" t="s">
        <v>32</v>
      </c>
      <c r="U89" s="9" t="s">
        <v>72</v>
      </c>
      <c r="V89" s="10">
        <v>1</v>
      </c>
      <c r="W89" s="10">
        <v>1</v>
      </c>
      <c r="AF89" s="9" t="s">
        <v>77</v>
      </c>
      <c r="AG89" s="11" t="s">
        <v>90</v>
      </c>
      <c r="AH89" s="9">
        <v>1</v>
      </c>
      <c r="AI89" s="9">
        <v>1</v>
      </c>
    </row>
    <row r="90" spans="1:35" s="9" customFormat="1" ht="15.75" x14ac:dyDescent="0.25">
      <c r="A90" s="9" t="str">
        <f t="shared" si="4"/>
        <v>بست استیل آچاری  سایز 60-63ضخامت 0.8</v>
      </c>
      <c r="B90" s="9">
        <v>1</v>
      </c>
      <c r="C90" s="12" t="s">
        <v>78</v>
      </c>
      <c r="L90" s="9" t="s">
        <v>30</v>
      </c>
      <c r="M90" s="9">
        <v>0.8</v>
      </c>
      <c r="N90" s="9">
        <v>1</v>
      </c>
      <c r="O90" s="9">
        <v>1</v>
      </c>
      <c r="T90" s="10" t="s">
        <v>32</v>
      </c>
      <c r="U90" s="9" t="s">
        <v>72</v>
      </c>
      <c r="V90" s="10">
        <v>1</v>
      </c>
      <c r="W90" s="10">
        <v>1</v>
      </c>
      <c r="AF90" s="9" t="s">
        <v>77</v>
      </c>
      <c r="AG90" s="11" t="s">
        <v>91</v>
      </c>
      <c r="AH90" s="9">
        <v>1</v>
      </c>
      <c r="AI90" s="9">
        <v>1</v>
      </c>
    </row>
    <row r="91" spans="1:35" s="9" customFormat="1" ht="15.75" x14ac:dyDescent="0.25">
      <c r="A91" s="9" t="str">
        <f t="shared" si="4"/>
        <v>بست استیل آچاری  سایز 64-67ضخامت 0.8</v>
      </c>
      <c r="B91" s="9">
        <v>1</v>
      </c>
      <c r="C91" s="12" t="s">
        <v>78</v>
      </c>
      <c r="L91" s="9" t="s">
        <v>30</v>
      </c>
      <c r="M91" s="9">
        <v>0.8</v>
      </c>
      <c r="N91" s="9">
        <v>1</v>
      </c>
      <c r="O91" s="9">
        <v>1</v>
      </c>
      <c r="T91" s="10" t="s">
        <v>32</v>
      </c>
      <c r="U91" s="9" t="s">
        <v>72</v>
      </c>
      <c r="V91" s="10">
        <v>1</v>
      </c>
      <c r="W91" s="10">
        <v>1</v>
      </c>
      <c r="AF91" s="9" t="s">
        <v>77</v>
      </c>
      <c r="AG91" s="11" t="s">
        <v>92</v>
      </c>
      <c r="AH91" s="9">
        <v>1</v>
      </c>
      <c r="AI91" s="9">
        <v>1</v>
      </c>
    </row>
    <row r="92" spans="1:35" s="9" customFormat="1" ht="15.75" x14ac:dyDescent="0.25">
      <c r="A92" s="9" t="str">
        <f t="shared" si="4"/>
        <v>بست استیل آچاری  سایز 68-73ضخامت 0.8</v>
      </c>
      <c r="B92" s="9">
        <v>1</v>
      </c>
      <c r="C92" s="12" t="s">
        <v>78</v>
      </c>
      <c r="L92" s="9" t="s">
        <v>30</v>
      </c>
      <c r="M92" s="9">
        <v>0.8</v>
      </c>
      <c r="N92" s="9">
        <v>1</v>
      </c>
      <c r="O92" s="9">
        <v>1</v>
      </c>
      <c r="T92" s="10" t="s">
        <v>32</v>
      </c>
      <c r="U92" s="9" t="s">
        <v>72</v>
      </c>
      <c r="V92" s="10">
        <v>1</v>
      </c>
      <c r="W92" s="10">
        <v>1</v>
      </c>
      <c r="AF92" s="9" t="s">
        <v>77</v>
      </c>
      <c r="AG92" s="11" t="s">
        <v>93</v>
      </c>
      <c r="AH92" s="9">
        <v>1</v>
      </c>
      <c r="AI92" s="9">
        <v>1</v>
      </c>
    </row>
    <row r="93" spans="1:35" s="9" customFormat="1" ht="15.75" x14ac:dyDescent="0.25">
      <c r="A93" s="9" t="str">
        <f t="shared" si="4"/>
        <v>بست استیل آچاری  سایز 74-79ضخامت 0.8</v>
      </c>
      <c r="B93" s="9">
        <v>1</v>
      </c>
      <c r="C93" s="12" t="s">
        <v>78</v>
      </c>
      <c r="L93" s="9" t="s">
        <v>30</v>
      </c>
      <c r="M93" s="9">
        <v>0.8</v>
      </c>
      <c r="N93" s="9">
        <v>1</v>
      </c>
      <c r="O93" s="9">
        <v>1</v>
      </c>
      <c r="T93" s="10" t="s">
        <v>32</v>
      </c>
      <c r="U93" s="9" t="s">
        <v>72</v>
      </c>
      <c r="V93" s="10">
        <v>1</v>
      </c>
      <c r="W93" s="10">
        <v>1</v>
      </c>
      <c r="AF93" s="9" t="s">
        <v>77</v>
      </c>
      <c r="AG93" s="11" t="s">
        <v>56</v>
      </c>
      <c r="AH93" s="9">
        <v>1</v>
      </c>
      <c r="AI93" s="9">
        <v>1</v>
      </c>
    </row>
    <row r="94" spans="1:35" s="9" customFormat="1" ht="15.75" x14ac:dyDescent="0.25">
      <c r="A94" s="9" t="str">
        <f t="shared" si="4"/>
        <v>بست استیل آچاری  سایز 80-85ضخامت 0.8</v>
      </c>
      <c r="B94" s="9">
        <v>1</v>
      </c>
      <c r="C94" s="12" t="s">
        <v>78</v>
      </c>
      <c r="L94" s="9" t="s">
        <v>30</v>
      </c>
      <c r="M94" s="9">
        <v>0.8</v>
      </c>
      <c r="N94" s="9">
        <v>1</v>
      </c>
      <c r="O94" s="9">
        <v>1</v>
      </c>
      <c r="T94" s="10" t="s">
        <v>32</v>
      </c>
      <c r="U94" s="9" t="s">
        <v>72</v>
      </c>
      <c r="V94" s="10">
        <v>1</v>
      </c>
      <c r="W94" s="10">
        <v>1</v>
      </c>
      <c r="AF94" s="9" t="s">
        <v>77</v>
      </c>
      <c r="AG94" s="11" t="s">
        <v>57</v>
      </c>
      <c r="AH94" s="9">
        <v>1</v>
      </c>
      <c r="AI94" s="9">
        <v>1</v>
      </c>
    </row>
    <row r="95" spans="1:35" s="9" customFormat="1" ht="15.75" x14ac:dyDescent="0.25">
      <c r="A95" s="9" t="str">
        <f t="shared" si="4"/>
        <v>بست استیل آچاری  سایز 86-91ضخامت 0.8</v>
      </c>
      <c r="B95" s="9">
        <v>1</v>
      </c>
      <c r="C95" s="12" t="s">
        <v>78</v>
      </c>
      <c r="L95" s="9" t="s">
        <v>30</v>
      </c>
      <c r="M95" s="9">
        <v>0.8</v>
      </c>
      <c r="N95" s="9">
        <v>1</v>
      </c>
      <c r="O95" s="9">
        <v>1</v>
      </c>
      <c r="T95" s="10" t="s">
        <v>32</v>
      </c>
      <c r="U95" s="9" t="s">
        <v>72</v>
      </c>
      <c r="V95" s="10">
        <v>1</v>
      </c>
      <c r="W95" s="10">
        <v>1</v>
      </c>
      <c r="AF95" s="9" t="s">
        <v>77</v>
      </c>
      <c r="AG95" s="11" t="s">
        <v>58</v>
      </c>
      <c r="AH95" s="9">
        <v>1</v>
      </c>
      <c r="AI95" s="9">
        <v>1</v>
      </c>
    </row>
    <row r="96" spans="1:35" s="9" customFormat="1" ht="15.75" x14ac:dyDescent="0.25">
      <c r="A96" s="9" t="str">
        <f t="shared" si="4"/>
        <v>بست استیل آچاری  سایز 92-97ضخامت 0.8</v>
      </c>
      <c r="B96" s="9">
        <v>1</v>
      </c>
      <c r="C96" s="12" t="s">
        <v>78</v>
      </c>
      <c r="L96" s="9" t="s">
        <v>30</v>
      </c>
      <c r="M96" s="9">
        <v>0.8</v>
      </c>
      <c r="N96" s="9">
        <v>1</v>
      </c>
      <c r="O96" s="9">
        <v>1</v>
      </c>
      <c r="T96" s="10" t="s">
        <v>32</v>
      </c>
      <c r="U96" s="9" t="s">
        <v>72</v>
      </c>
      <c r="V96" s="10">
        <v>1</v>
      </c>
      <c r="W96" s="10">
        <v>1</v>
      </c>
      <c r="AF96" s="9" t="s">
        <v>77</v>
      </c>
      <c r="AG96" s="11" t="s">
        <v>59</v>
      </c>
      <c r="AH96" s="9">
        <v>1</v>
      </c>
      <c r="AI96" s="9">
        <v>1</v>
      </c>
    </row>
    <row r="97" spans="1:35" s="9" customFormat="1" ht="15.75" x14ac:dyDescent="0.25">
      <c r="A97" s="9" t="str">
        <f t="shared" si="4"/>
        <v>بست استیل آچاری  سایز 98-103ضخامت 0.8</v>
      </c>
      <c r="B97" s="9">
        <v>1</v>
      </c>
      <c r="C97" s="12" t="s">
        <v>78</v>
      </c>
      <c r="L97" s="9" t="s">
        <v>30</v>
      </c>
      <c r="M97" s="9">
        <v>0.8</v>
      </c>
      <c r="N97" s="9">
        <v>1</v>
      </c>
      <c r="O97" s="9">
        <v>1</v>
      </c>
      <c r="T97" s="10" t="s">
        <v>32</v>
      </c>
      <c r="U97" s="9" t="s">
        <v>72</v>
      </c>
      <c r="V97" s="10">
        <v>1</v>
      </c>
      <c r="W97" s="10">
        <v>1</v>
      </c>
      <c r="AF97" s="9" t="s">
        <v>77</v>
      </c>
      <c r="AG97" s="11" t="s">
        <v>60</v>
      </c>
      <c r="AH97" s="9">
        <v>1</v>
      </c>
      <c r="AI97" s="9">
        <v>1</v>
      </c>
    </row>
    <row r="98" spans="1:35" s="9" customFormat="1" ht="15.75" x14ac:dyDescent="0.25">
      <c r="A98" s="9" t="str">
        <f t="shared" si="4"/>
        <v>بست استیل آچاری  سایز 104-112ضخامت 0.8</v>
      </c>
      <c r="B98" s="9">
        <v>1</v>
      </c>
      <c r="C98" s="12" t="s">
        <v>78</v>
      </c>
      <c r="L98" s="9" t="s">
        <v>30</v>
      </c>
      <c r="M98" s="9">
        <v>0.8</v>
      </c>
      <c r="N98" s="9">
        <v>1</v>
      </c>
      <c r="O98" s="9">
        <v>1</v>
      </c>
      <c r="T98" s="10" t="s">
        <v>32</v>
      </c>
      <c r="U98" s="9" t="s">
        <v>72</v>
      </c>
      <c r="V98" s="10">
        <v>1</v>
      </c>
      <c r="W98" s="10">
        <v>1</v>
      </c>
      <c r="AF98" s="9" t="s">
        <v>77</v>
      </c>
      <c r="AG98" s="11" t="s">
        <v>61</v>
      </c>
      <c r="AH98" s="9">
        <v>1</v>
      </c>
      <c r="AI98" s="9">
        <v>1</v>
      </c>
    </row>
    <row r="99" spans="1:35" s="9" customFormat="1" ht="15.75" x14ac:dyDescent="0.25">
      <c r="A99" s="9" t="str">
        <f t="shared" si="4"/>
        <v>بست استیل آچاری  سایز 113-121ضخامت 0.8</v>
      </c>
      <c r="B99" s="9">
        <v>1</v>
      </c>
      <c r="C99" s="12" t="s">
        <v>78</v>
      </c>
      <c r="L99" s="9" t="s">
        <v>30</v>
      </c>
      <c r="M99" s="9">
        <v>0.8</v>
      </c>
      <c r="N99" s="9">
        <v>1</v>
      </c>
      <c r="O99" s="9">
        <v>1</v>
      </c>
      <c r="T99" s="10" t="s">
        <v>32</v>
      </c>
      <c r="U99" s="9" t="s">
        <v>72</v>
      </c>
      <c r="V99" s="10">
        <v>1</v>
      </c>
      <c r="W99" s="10">
        <v>1</v>
      </c>
      <c r="AF99" s="9" t="s">
        <v>77</v>
      </c>
      <c r="AG99" s="11" t="s">
        <v>62</v>
      </c>
      <c r="AH99" s="9">
        <v>1</v>
      </c>
      <c r="AI99" s="9">
        <v>1</v>
      </c>
    </row>
    <row r="100" spans="1:35" s="9" customFormat="1" ht="15.75" x14ac:dyDescent="0.25">
      <c r="A100" s="9" t="str">
        <f t="shared" si="4"/>
        <v>بست استیل آچاری  سایز 122-130ضخامت 0.8</v>
      </c>
      <c r="B100" s="9">
        <v>1</v>
      </c>
      <c r="C100" s="12" t="s">
        <v>78</v>
      </c>
      <c r="L100" s="9" t="s">
        <v>30</v>
      </c>
      <c r="M100" s="9">
        <v>0.8</v>
      </c>
      <c r="N100" s="9">
        <v>1</v>
      </c>
      <c r="O100" s="9">
        <v>1</v>
      </c>
      <c r="T100" s="10" t="s">
        <v>32</v>
      </c>
      <c r="U100" s="9" t="s">
        <v>72</v>
      </c>
      <c r="V100" s="10">
        <v>1</v>
      </c>
      <c r="W100" s="10">
        <v>1</v>
      </c>
      <c r="AF100" s="9" t="s">
        <v>77</v>
      </c>
      <c r="AG100" s="11" t="s">
        <v>63</v>
      </c>
      <c r="AH100" s="9">
        <v>1</v>
      </c>
      <c r="AI100" s="9">
        <v>1</v>
      </c>
    </row>
    <row r="101" spans="1:35" s="9" customFormat="1" ht="15.75" x14ac:dyDescent="0.25">
      <c r="A101" s="9" t="str">
        <f t="shared" si="4"/>
        <v>بست استیل آچاری  سایز 131-139ضخامت 1</v>
      </c>
      <c r="B101" s="9">
        <v>1</v>
      </c>
      <c r="C101" s="12" t="s">
        <v>78</v>
      </c>
      <c r="L101" s="9" t="s">
        <v>30</v>
      </c>
      <c r="M101" s="9">
        <v>1</v>
      </c>
      <c r="N101" s="9">
        <v>1</v>
      </c>
      <c r="O101" s="9">
        <v>1</v>
      </c>
      <c r="T101" s="10" t="s">
        <v>32</v>
      </c>
      <c r="U101" s="9" t="s">
        <v>72</v>
      </c>
      <c r="V101" s="10">
        <v>1</v>
      </c>
      <c r="W101" s="10">
        <v>1</v>
      </c>
      <c r="AF101" s="9" t="s">
        <v>77</v>
      </c>
      <c r="AG101" s="11" t="s">
        <v>94</v>
      </c>
      <c r="AH101" s="9">
        <v>1</v>
      </c>
      <c r="AI101" s="9">
        <v>1</v>
      </c>
    </row>
    <row r="102" spans="1:35" s="9" customFormat="1" ht="15.75" x14ac:dyDescent="0.25">
      <c r="A102" s="9" t="str">
        <f t="shared" si="4"/>
        <v>بست استیل آچاری  سایز 140-148ضخامت 1</v>
      </c>
      <c r="B102" s="9">
        <v>1</v>
      </c>
      <c r="C102" s="12" t="s">
        <v>78</v>
      </c>
      <c r="L102" s="9" t="s">
        <v>30</v>
      </c>
      <c r="M102" s="9">
        <v>1</v>
      </c>
      <c r="N102" s="9">
        <v>1</v>
      </c>
      <c r="O102" s="9">
        <v>1</v>
      </c>
      <c r="T102" s="10" t="s">
        <v>32</v>
      </c>
      <c r="U102" s="9" t="s">
        <v>72</v>
      </c>
      <c r="V102" s="10">
        <v>1</v>
      </c>
      <c r="W102" s="10">
        <v>1</v>
      </c>
      <c r="AF102" s="9" t="s">
        <v>77</v>
      </c>
      <c r="AG102" s="11" t="s">
        <v>95</v>
      </c>
      <c r="AH102" s="9">
        <v>1</v>
      </c>
      <c r="AI102" s="9">
        <v>1</v>
      </c>
    </row>
    <row r="103" spans="1:35" s="9" customFormat="1" ht="15.75" x14ac:dyDescent="0.25">
      <c r="A103" s="9" t="str">
        <f t="shared" si="4"/>
        <v>بست استیل آچاری  سایز 149-161ضخامت 1</v>
      </c>
      <c r="B103" s="9">
        <v>1</v>
      </c>
      <c r="C103" s="12" t="s">
        <v>78</v>
      </c>
      <c r="L103" s="9" t="s">
        <v>30</v>
      </c>
      <c r="M103" s="9">
        <v>1</v>
      </c>
      <c r="N103" s="9">
        <v>1</v>
      </c>
      <c r="O103" s="9">
        <v>1</v>
      </c>
      <c r="T103" s="10" t="s">
        <v>32</v>
      </c>
      <c r="U103" s="9" t="s">
        <v>72</v>
      </c>
      <c r="V103" s="10">
        <v>1</v>
      </c>
      <c r="W103" s="10">
        <v>1</v>
      </c>
      <c r="AF103" s="9" t="s">
        <v>77</v>
      </c>
      <c r="AG103" s="11" t="s">
        <v>96</v>
      </c>
      <c r="AH103" s="9">
        <v>1</v>
      </c>
      <c r="AI103" s="9">
        <v>1</v>
      </c>
    </row>
    <row r="104" spans="1:35" s="9" customFormat="1" ht="15.75" x14ac:dyDescent="0.25">
      <c r="A104" s="9" t="str">
        <f t="shared" si="4"/>
        <v>بست استیل آچاری  سایز 162-174ضخامت 1</v>
      </c>
      <c r="B104" s="9">
        <v>1</v>
      </c>
      <c r="C104" s="12" t="s">
        <v>78</v>
      </c>
      <c r="L104" s="9" t="s">
        <v>30</v>
      </c>
      <c r="M104" s="9">
        <v>1</v>
      </c>
      <c r="N104" s="9">
        <v>1</v>
      </c>
      <c r="O104" s="9">
        <v>1</v>
      </c>
      <c r="T104" s="10" t="s">
        <v>32</v>
      </c>
      <c r="U104" s="9" t="s">
        <v>72</v>
      </c>
      <c r="V104" s="10">
        <v>1</v>
      </c>
      <c r="W104" s="10">
        <v>1</v>
      </c>
      <c r="AF104" s="9" t="s">
        <v>77</v>
      </c>
      <c r="AG104" s="11" t="s">
        <v>97</v>
      </c>
      <c r="AH104" s="9">
        <v>1</v>
      </c>
      <c r="AI104" s="9">
        <v>1</v>
      </c>
    </row>
    <row r="105" spans="1:35" s="9" customFormat="1" ht="15.75" x14ac:dyDescent="0.25">
      <c r="A105" s="9" t="str">
        <f t="shared" si="4"/>
        <v>بست استیل آچاری  سایز 175-187ضخامت 1</v>
      </c>
      <c r="B105" s="9">
        <v>1</v>
      </c>
      <c r="C105" s="12" t="s">
        <v>78</v>
      </c>
      <c r="L105" s="9" t="s">
        <v>30</v>
      </c>
      <c r="M105" s="9">
        <v>1</v>
      </c>
      <c r="N105" s="9">
        <v>1</v>
      </c>
      <c r="O105" s="9">
        <v>1</v>
      </c>
      <c r="T105" s="10" t="s">
        <v>32</v>
      </c>
      <c r="U105" s="9" t="s">
        <v>72</v>
      </c>
      <c r="V105" s="10">
        <v>1</v>
      </c>
      <c r="W105" s="10">
        <v>1</v>
      </c>
      <c r="AF105" s="9" t="s">
        <v>77</v>
      </c>
      <c r="AG105" s="11" t="s">
        <v>98</v>
      </c>
      <c r="AH105" s="9">
        <v>1</v>
      </c>
      <c r="AI105" s="9">
        <v>1</v>
      </c>
    </row>
    <row r="106" spans="1:35" s="9" customFormat="1" ht="15.75" x14ac:dyDescent="0.25">
      <c r="A106" s="9" t="str">
        <f t="shared" si="4"/>
        <v>بست استیل آچاری  سایز 188-200ضخامت 1</v>
      </c>
      <c r="B106" s="9">
        <v>1</v>
      </c>
      <c r="C106" s="12" t="s">
        <v>78</v>
      </c>
      <c r="L106" s="9" t="s">
        <v>30</v>
      </c>
      <c r="M106" s="9">
        <v>1</v>
      </c>
      <c r="N106" s="9">
        <v>1</v>
      </c>
      <c r="O106" s="9">
        <v>1</v>
      </c>
      <c r="T106" s="10" t="s">
        <v>32</v>
      </c>
      <c r="U106" s="9" t="s">
        <v>72</v>
      </c>
      <c r="V106" s="10">
        <v>1</v>
      </c>
      <c r="W106" s="10">
        <v>1</v>
      </c>
      <c r="AF106" s="9" t="s">
        <v>77</v>
      </c>
      <c r="AG106" s="11" t="s">
        <v>99</v>
      </c>
      <c r="AH106" s="9">
        <v>1</v>
      </c>
      <c r="AI106" s="9">
        <v>1</v>
      </c>
    </row>
    <row r="107" spans="1:35" s="9" customFormat="1" ht="15.75" x14ac:dyDescent="0.25">
      <c r="A107" s="9" t="str">
        <f t="shared" si="4"/>
        <v>بست استیل آچاری  سایز 201-213ضخامت 1</v>
      </c>
      <c r="B107" s="9">
        <v>1</v>
      </c>
      <c r="C107" s="12" t="s">
        <v>78</v>
      </c>
      <c r="L107" s="9" t="s">
        <v>30</v>
      </c>
      <c r="M107" s="9">
        <v>1</v>
      </c>
      <c r="N107" s="9">
        <v>1</v>
      </c>
      <c r="O107" s="9">
        <v>1</v>
      </c>
      <c r="T107" s="10" t="s">
        <v>32</v>
      </c>
      <c r="U107" s="9" t="s">
        <v>72</v>
      </c>
      <c r="V107" s="10">
        <v>1</v>
      </c>
      <c r="W107" s="10">
        <v>1</v>
      </c>
      <c r="AF107" s="9" t="s">
        <v>77</v>
      </c>
      <c r="AG107" s="11" t="s">
        <v>100</v>
      </c>
      <c r="AH107" s="9">
        <v>1</v>
      </c>
      <c r="AI107" s="9">
        <v>1</v>
      </c>
    </row>
    <row r="108" spans="1:35" s="9" customFormat="1" ht="15.75" x14ac:dyDescent="0.25">
      <c r="A108" s="9" t="str">
        <f t="shared" si="4"/>
        <v>بست استیل آچاری  سایز 214-226ضخامت 1</v>
      </c>
      <c r="B108" s="9">
        <v>1</v>
      </c>
      <c r="C108" s="12" t="s">
        <v>78</v>
      </c>
      <c r="L108" s="9" t="s">
        <v>30</v>
      </c>
      <c r="M108" s="9">
        <v>1</v>
      </c>
      <c r="N108" s="9">
        <v>1</v>
      </c>
      <c r="O108" s="9">
        <v>1</v>
      </c>
      <c r="T108" s="10" t="s">
        <v>32</v>
      </c>
      <c r="U108" s="9" t="s">
        <v>72</v>
      </c>
      <c r="V108" s="10">
        <v>1</v>
      </c>
      <c r="W108" s="10">
        <v>1</v>
      </c>
      <c r="AF108" s="9" t="s">
        <v>77</v>
      </c>
      <c r="AG108" s="11" t="s">
        <v>101</v>
      </c>
      <c r="AH108" s="9">
        <v>1</v>
      </c>
      <c r="AI108" s="9">
        <v>1</v>
      </c>
    </row>
    <row r="109" spans="1:35" s="9" customFormat="1" ht="15.75" x14ac:dyDescent="0.25">
      <c r="A109" s="9" t="str">
        <f t="shared" si="4"/>
        <v>بست استیل آچاری  سایز 227-239ضخامت 1</v>
      </c>
      <c r="B109" s="9">
        <v>1</v>
      </c>
      <c r="C109" s="12" t="s">
        <v>78</v>
      </c>
      <c r="L109" s="9" t="s">
        <v>30</v>
      </c>
      <c r="M109" s="9">
        <v>1</v>
      </c>
      <c r="N109" s="9">
        <v>1</v>
      </c>
      <c r="O109" s="9">
        <v>1</v>
      </c>
      <c r="T109" s="10" t="s">
        <v>32</v>
      </c>
      <c r="U109" s="9" t="s">
        <v>72</v>
      </c>
      <c r="V109" s="10">
        <v>1</v>
      </c>
      <c r="W109" s="10">
        <v>1</v>
      </c>
      <c r="AF109" s="9" t="s">
        <v>77</v>
      </c>
      <c r="AG109" s="11" t="s">
        <v>102</v>
      </c>
      <c r="AH109" s="9">
        <v>1</v>
      </c>
      <c r="AI109" s="9">
        <v>1</v>
      </c>
    </row>
    <row r="110" spans="1:35" s="9" customFormat="1" ht="15.75" x14ac:dyDescent="0.25">
      <c r="A110" s="9" t="str">
        <f t="shared" si="4"/>
        <v>بست استیل آچاری  سایز 240-252ضخامت 1</v>
      </c>
      <c r="B110" s="9">
        <v>1</v>
      </c>
      <c r="C110" s="12" t="s">
        <v>78</v>
      </c>
      <c r="L110" s="9" t="s">
        <v>30</v>
      </c>
      <c r="M110" s="9">
        <v>1</v>
      </c>
      <c r="N110" s="9">
        <v>1</v>
      </c>
      <c r="O110" s="9">
        <v>1</v>
      </c>
      <c r="T110" s="10" t="s">
        <v>32</v>
      </c>
      <c r="U110" s="9" t="s">
        <v>72</v>
      </c>
      <c r="V110" s="10">
        <v>1</v>
      </c>
      <c r="W110" s="10">
        <v>1</v>
      </c>
      <c r="AF110" s="9" t="s">
        <v>77</v>
      </c>
      <c r="AG110" s="11" t="s">
        <v>103</v>
      </c>
      <c r="AH110" s="9">
        <v>1</v>
      </c>
      <c r="AI110" s="9">
        <v>1</v>
      </c>
    </row>
    <row r="111" spans="1:35" s="13" customFormat="1" x14ac:dyDescent="0.25">
      <c r="A111" s="13" t="str">
        <f>"بانداژ(نوار پخت) "&amp; " رول "&amp; AC111 &amp;" متری"&amp;" "&amp;"سایز" &amp; AG111 &amp;" "&amp; "ضخامت " &amp; M111</f>
        <v>بانداژ(نوار پخت)  رول 300 متری سایز3 ضخامت 0.3</v>
      </c>
      <c r="B111" s="13">
        <v>1</v>
      </c>
      <c r="C111" s="13" t="s">
        <v>104</v>
      </c>
      <c r="L111" s="13" t="s">
        <v>30</v>
      </c>
      <c r="M111" s="13">
        <v>0.3</v>
      </c>
      <c r="N111" s="13">
        <v>1</v>
      </c>
      <c r="O111" s="13">
        <v>1</v>
      </c>
      <c r="AB111" s="13" t="s">
        <v>106</v>
      </c>
      <c r="AC111" s="13">
        <v>300</v>
      </c>
      <c r="AD111" s="13">
        <v>1</v>
      </c>
      <c r="AE111" s="13">
        <v>1</v>
      </c>
      <c r="AF111" s="13" t="s">
        <v>105</v>
      </c>
      <c r="AG111" s="13">
        <v>3</v>
      </c>
      <c r="AH111" s="13">
        <v>1</v>
      </c>
      <c r="AI111" s="13">
        <v>1</v>
      </c>
    </row>
    <row r="112" spans="1:35" s="13" customFormat="1" x14ac:dyDescent="0.25">
      <c r="A112" s="13" t="str">
        <f t="shared" ref="A112:A117" si="5">"بانداژ(نوار پخت) "&amp; " رول "&amp; AC112 &amp;" متری"&amp;" "&amp;"سایز" &amp; AG112 &amp;" "&amp; "ضخامت " &amp; M112</f>
        <v>بانداژ(نوار پخت)  رول 300 متری سایز4 ضخامت 0.3</v>
      </c>
      <c r="B112" s="13">
        <v>1</v>
      </c>
      <c r="C112" s="13" t="s">
        <v>104</v>
      </c>
      <c r="L112" s="13" t="s">
        <v>30</v>
      </c>
      <c r="M112" s="13">
        <v>0.3</v>
      </c>
      <c r="N112" s="13">
        <v>1</v>
      </c>
      <c r="O112" s="13">
        <v>1</v>
      </c>
      <c r="AB112" s="13" t="s">
        <v>106</v>
      </c>
      <c r="AC112" s="13">
        <v>300</v>
      </c>
      <c r="AD112" s="13">
        <v>1</v>
      </c>
      <c r="AE112" s="13">
        <v>1</v>
      </c>
      <c r="AF112" s="13" t="s">
        <v>105</v>
      </c>
      <c r="AG112" s="13">
        <v>4</v>
      </c>
      <c r="AH112" s="13">
        <v>1</v>
      </c>
      <c r="AI112" s="13">
        <v>1</v>
      </c>
    </row>
    <row r="113" spans="1:35" s="13" customFormat="1" x14ac:dyDescent="0.25">
      <c r="A113" s="13" t="str">
        <f t="shared" si="5"/>
        <v>بانداژ(نوار پخت)  رول 300 متری سایز5 ضخامت 0.33</v>
      </c>
      <c r="B113" s="13">
        <v>1</v>
      </c>
      <c r="C113" s="13" t="s">
        <v>104</v>
      </c>
      <c r="L113" s="13" t="s">
        <v>30</v>
      </c>
      <c r="M113" s="13">
        <v>0.33</v>
      </c>
      <c r="N113" s="13">
        <v>1</v>
      </c>
      <c r="O113" s="13">
        <v>1</v>
      </c>
      <c r="AB113" s="13" t="s">
        <v>106</v>
      </c>
      <c r="AC113" s="13">
        <v>300</v>
      </c>
      <c r="AD113" s="13">
        <v>1</v>
      </c>
      <c r="AE113" s="13">
        <v>1</v>
      </c>
      <c r="AF113" s="13" t="s">
        <v>105</v>
      </c>
      <c r="AG113" s="13">
        <v>5</v>
      </c>
      <c r="AH113" s="13">
        <v>1</v>
      </c>
      <c r="AI113" s="13">
        <v>1</v>
      </c>
    </row>
    <row r="114" spans="1:35" s="13" customFormat="1" x14ac:dyDescent="0.25">
      <c r="A114" s="13" t="str">
        <f t="shared" si="5"/>
        <v>بانداژ(نوار پخت)  رول 300 متری سایز6 ضخامت 0.33</v>
      </c>
      <c r="B114" s="13">
        <v>1</v>
      </c>
      <c r="C114" s="13" t="s">
        <v>104</v>
      </c>
      <c r="L114" s="13" t="s">
        <v>30</v>
      </c>
      <c r="M114" s="13">
        <v>0.33</v>
      </c>
      <c r="N114" s="13">
        <v>1</v>
      </c>
      <c r="O114" s="13">
        <v>1</v>
      </c>
      <c r="AB114" s="13" t="s">
        <v>106</v>
      </c>
      <c r="AC114" s="13">
        <v>300</v>
      </c>
      <c r="AD114" s="13">
        <v>1</v>
      </c>
      <c r="AE114" s="13">
        <v>1</v>
      </c>
      <c r="AF114" s="13" t="s">
        <v>105</v>
      </c>
      <c r="AG114" s="13">
        <v>6</v>
      </c>
      <c r="AH114" s="13">
        <v>1</v>
      </c>
      <c r="AI114" s="13">
        <v>1</v>
      </c>
    </row>
    <row r="115" spans="1:35" s="13" customFormat="1" x14ac:dyDescent="0.25">
      <c r="A115" s="13" t="str">
        <f t="shared" si="5"/>
        <v>بانداژ(نوار پخت)  رول 300 متری سایز7 ضخامت 0.36</v>
      </c>
      <c r="B115" s="13">
        <v>1</v>
      </c>
      <c r="C115" s="13" t="s">
        <v>104</v>
      </c>
      <c r="L115" s="13" t="s">
        <v>30</v>
      </c>
      <c r="M115" s="13">
        <v>0.36</v>
      </c>
      <c r="N115" s="13">
        <v>1</v>
      </c>
      <c r="O115" s="13">
        <v>1</v>
      </c>
      <c r="AB115" s="13" t="s">
        <v>106</v>
      </c>
      <c r="AC115" s="13">
        <v>300</v>
      </c>
      <c r="AD115" s="13">
        <v>1</v>
      </c>
      <c r="AE115" s="13">
        <v>1</v>
      </c>
      <c r="AF115" s="13" t="s">
        <v>105</v>
      </c>
      <c r="AG115" s="13">
        <v>7</v>
      </c>
      <c r="AH115" s="13">
        <v>1</v>
      </c>
      <c r="AI115" s="13">
        <v>1</v>
      </c>
    </row>
    <row r="116" spans="1:35" s="13" customFormat="1" x14ac:dyDescent="0.25">
      <c r="A116" s="13" t="str">
        <f t="shared" si="5"/>
        <v>بانداژ(نوار پخت)  رول 300 متری سایز8 ضخامت 0.36</v>
      </c>
      <c r="B116" s="13">
        <v>1</v>
      </c>
      <c r="C116" s="13" t="s">
        <v>104</v>
      </c>
      <c r="L116" s="13" t="s">
        <v>30</v>
      </c>
      <c r="M116" s="13">
        <v>0.36</v>
      </c>
      <c r="N116" s="13">
        <v>1</v>
      </c>
      <c r="O116" s="13">
        <v>1</v>
      </c>
      <c r="AB116" s="13" t="s">
        <v>106</v>
      </c>
      <c r="AC116" s="13">
        <v>300</v>
      </c>
      <c r="AD116" s="13">
        <v>1</v>
      </c>
      <c r="AE116" s="13">
        <v>1</v>
      </c>
      <c r="AF116" s="13" t="s">
        <v>105</v>
      </c>
      <c r="AG116" s="13">
        <v>8</v>
      </c>
      <c r="AH116" s="13">
        <v>1</v>
      </c>
      <c r="AI116" s="13">
        <v>1</v>
      </c>
    </row>
    <row r="117" spans="1:35" s="13" customFormat="1" x14ac:dyDescent="0.25">
      <c r="A117" s="13" t="str">
        <f t="shared" si="5"/>
        <v>بانداژ(نوار پخت)  رول 300 متری سایز10 ضخامت 0.4</v>
      </c>
      <c r="B117" s="13">
        <v>1</v>
      </c>
      <c r="C117" s="13" t="s">
        <v>104</v>
      </c>
      <c r="L117" s="13" t="s">
        <v>30</v>
      </c>
      <c r="M117" s="13">
        <v>0.4</v>
      </c>
      <c r="N117" s="13">
        <v>1</v>
      </c>
      <c r="O117" s="13">
        <v>1</v>
      </c>
      <c r="AB117" s="13" t="s">
        <v>106</v>
      </c>
      <c r="AC117" s="13">
        <v>300</v>
      </c>
      <c r="AD117" s="13">
        <v>1</v>
      </c>
      <c r="AE117" s="13">
        <v>1</v>
      </c>
      <c r="AF117" s="13" t="s">
        <v>105</v>
      </c>
      <c r="AG117" s="13">
        <v>10</v>
      </c>
      <c r="AH117" s="13">
        <v>1</v>
      </c>
      <c r="AI117" s="13">
        <v>1</v>
      </c>
    </row>
    <row r="118" spans="1:35" s="5" customFormat="1" x14ac:dyDescent="0.25">
      <c r="A118" s="5" t="str">
        <f>"زانویی 90 درجه" &amp; " قطر "&amp; E118 &amp;" "&amp; Q118 &amp;"لایه" &amp;" "&amp;"طول ساق" &amp; AC118</f>
        <v>زانویی 90 درجه قطر 12 3لایه طول ساق102*102</v>
      </c>
      <c r="B118" s="5">
        <v>1</v>
      </c>
      <c r="C118" s="5" t="s">
        <v>107</v>
      </c>
      <c r="D118" s="5" t="s">
        <v>28</v>
      </c>
      <c r="E118" s="5">
        <v>12</v>
      </c>
      <c r="F118" s="5">
        <v>1</v>
      </c>
      <c r="G118" s="5">
        <v>1</v>
      </c>
      <c r="H118" s="4"/>
      <c r="L118" s="5" t="s">
        <v>30</v>
      </c>
      <c r="M118" s="5">
        <v>4</v>
      </c>
      <c r="N118" s="4">
        <v>1</v>
      </c>
      <c r="O118" s="4">
        <v>1</v>
      </c>
      <c r="P118" s="5" t="s">
        <v>31</v>
      </c>
      <c r="Q118" s="5">
        <v>3</v>
      </c>
      <c r="R118" s="5">
        <v>1</v>
      </c>
      <c r="S118" s="5">
        <v>1</v>
      </c>
      <c r="T118" s="5" t="s">
        <v>32</v>
      </c>
      <c r="U118" s="5" t="s">
        <v>108</v>
      </c>
      <c r="V118" s="5">
        <v>1</v>
      </c>
      <c r="W118" s="5">
        <v>1</v>
      </c>
      <c r="X118" s="5" t="s">
        <v>34</v>
      </c>
      <c r="Y118" s="5" t="s">
        <v>35</v>
      </c>
      <c r="Z118" s="5">
        <v>1</v>
      </c>
      <c r="AA118" s="5">
        <v>1</v>
      </c>
      <c r="AB118" s="5" t="s">
        <v>109</v>
      </c>
      <c r="AC118" s="5" t="s">
        <v>49</v>
      </c>
      <c r="AD118" s="4">
        <v>1</v>
      </c>
      <c r="AE118" s="4">
        <v>1</v>
      </c>
    </row>
    <row r="119" spans="1:35" s="4" customFormat="1" x14ac:dyDescent="0.25">
      <c r="A119" s="5" t="str">
        <f t="shared" ref="A119:A145" si="6">"زانویی 90 درجه" &amp; " قطر "&amp; E119 &amp;" "&amp; Q119 &amp;"لایه" &amp;" "&amp;"طول ساق" &amp; AC119</f>
        <v>زانویی 90 درجه قطر 14 3لایه طول ساق102*102</v>
      </c>
      <c r="B119" s="4">
        <v>1</v>
      </c>
      <c r="C119" s="4" t="s">
        <v>107</v>
      </c>
      <c r="D119" s="4" t="s">
        <v>28</v>
      </c>
      <c r="E119" s="4">
        <v>14</v>
      </c>
      <c r="F119" s="4">
        <v>1</v>
      </c>
      <c r="G119" s="4">
        <v>1</v>
      </c>
      <c r="H119" s="5"/>
      <c r="L119" s="4" t="s">
        <v>30</v>
      </c>
      <c r="M119" s="4">
        <v>4</v>
      </c>
      <c r="N119" s="4">
        <v>1</v>
      </c>
      <c r="O119" s="4">
        <v>1</v>
      </c>
      <c r="P119" s="4" t="s">
        <v>31</v>
      </c>
      <c r="Q119" s="4">
        <v>3</v>
      </c>
      <c r="R119" s="4">
        <v>1</v>
      </c>
      <c r="S119" s="4">
        <v>1</v>
      </c>
      <c r="T119" s="4" t="s">
        <v>32</v>
      </c>
      <c r="U119" s="4" t="s">
        <v>108</v>
      </c>
      <c r="V119" s="4">
        <v>1</v>
      </c>
      <c r="W119" s="4">
        <v>1</v>
      </c>
      <c r="X119" s="4" t="s">
        <v>34</v>
      </c>
      <c r="Y119" s="4" t="s">
        <v>35</v>
      </c>
      <c r="Z119" s="4">
        <v>1</v>
      </c>
      <c r="AA119" s="4">
        <v>1</v>
      </c>
      <c r="AB119" s="4" t="s">
        <v>109</v>
      </c>
      <c r="AC119" s="4" t="s">
        <v>49</v>
      </c>
      <c r="AD119" s="4">
        <v>1</v>
      </c>
      <c r="AE119" s="4">
        <v>1</v>
      </c>
    </row>
    <row r="120" spans="1:35" s="4" customFormat="1" x14ac:dyDescent="0.25">
      <c r="A120" s="5" t="str">
        <f t="shared" si="6"/>
        <v>زانویی 90 درجه قطر 16 3لایه طول ساق102*102</v>
      </c>
      <c r="B120" s="4">
        <v>1</v>
      </c>
      <c r="C120" s="4" t="s">
        <v>107</v>
      </c>
      <c r="D120" s="4" t="s">
        <v>28</v>
      </c>
      <c r="E120" s="4">
        <v>16</v>
      </c>
      <c r="F120" s="4">
        <v>1</v>
      </c>
      <c r="G120" s="4">
        <v>1</v>
      </c>
      <c r="L120" s="4" t="s">
        <v>30</v>
      </c>
      <c r="M120" s="4">
        <v>4</v>
      </c>
      <c r="N120" s="4">
        <v>1</v>
      </c>
      <c r="O120" s="4">
        <v>1</v>
      </c>
      <c r="P120" s="4" t="s">
        <v>31</v>
      </c>
      <c r="Q120" s="4">
        <v>3</v>
      </c>
      <c r="R120" s="4">
        <v>1</v>
      </c>
      <c r="S120" s="4">
        <v>1</v>
      </c>
      <c r="T120" s="4" t="s">
        <v>32</v>
      </c>
      <c r="U120" s="4" t="s">
        <v>108</v>
      </c>
      <c r="V120" s="4">
        <v>1</v>
      </c>
      <c r="W120" s="4">
        <v>1</v>
      </c>
      <c r="X120" s="4" t="s">
        <v>34</v>
      </c>
      <c r="Y120" s="4" t="s">
        <v>35</v>
      </c>
      <c r="Z120" s="4">
        <v>1</v>
      </c>
      <c r="AA120" s="4">
        <v>1</v>
      </c>
      <c r="AB120" s="4" t="s">
        <v>109</v>
      </c>
      <c r="AC120" s="4" t="s">
        <v>49</v>
      </c>
      <c r="AD120" s="4">
        <v>1</v>
      </c>
      <c r="AE120" s="4">
        <v>1</v>
      </c>
    </row>
    <row r="121" spans="1:35" s="4" customFormat="1" x14ac:dyDescent="0.25">
      <c r="A121" s="5" t="str">
        <f t="shared" si="6"/>
        <v>زانویی 90 درجه قطر 18 3لایه طول ساق102*102</v>
      </c>
      <c r="B121" s="4">
        <v>1</v>
      </c>
      <c r="C121" s="4" t="s">
        <v>107</v>
      </c>
      <c r="D121" s="4" t="s">
        <v>28</v>
      </c>
      <c r="E121" s="4">
        <v>18</v>
      </c>
      <c r="F121" s="4">
        <v>1</v>
      </c>
      <c r="G121" s="4">
        <v>1</v>
      </c>
      <c r="L121" s="4" t="s">
        <v>30</v>
      </c>
      <c r="M121" s="4">
        <v>4</v>
      </c>
      <c r="N121" s="4">
        <v>1</v>
      </c>
      <c r="O121" s="4">
        <v>1</v>
      </c>
      <c r="P121" s="4" t="s">
        <v>31</v>
      </c>
      <c r="Q121" s="4">
        <v>3</v>
      </c>
      <c r="R121" s="4">
        <v>1</v>
      </c>
      <c r="S121" s="4">
        <v>1</v>
      </c>
      <c r="T121" s="4" t="s">
        <v>32</v>
      </c>
      <c r="U121" s="4" t="s">
        <v>108</v>
      </c>
      <c r="V121" s="4">
        <v>1</v>
      </c>
      <c r="W121" s="4">
        <v>1</v>
      </c>
      <c r="X121" s="4" t="s">
        <v>34</v>
      </c>
      <c r="Y121" s="4" t="s">
        <v>35</v>
      </c>
      <c r="Z121" s="4">
        <v>1</v>
      </c>
      <c r="AA121" s="4">
        <v>1</v>
      </c>
      <c r="AB121" s="4" t="s">
        <v>109</v>
      </c>
      <c r="AC121" s="4" t="s">
        <v>49</v>
      </c>
      <c r="AD121" s="4">
        <v>1</v>
      </c>
      <c r="AE121" s="4">
        <v>1</v>
      </c>
    </row>
    <row r="122" spans="1:35" s="4" customFormat="1" x14ac:dyDescent="0.25">
      <c r="A122" s="5" t="str">
        <f t="shared" si="6"/>
        <v>زانویی 90 درجه قطر 20 3لایه طول ساق125*125</v>
      </c>
      <c r="B122" s="4">
        <v>1</v>
      </c>
      <c r="C122" s="4" t="s">
        <v>107</v>
      </c>
      <c r="D122" s="4" t="s">
        <v>28</v>
      </c>
      <c r="E122" s="4">
        <v>20</v>
      </c>
      <c r="F122" s="4">
        <v>1</v>
      </c>
      <c r="G122" s="4">
        <v>1</v>
      </c>
      <c r="L122" s="4" t="s">
        <v>30</v>
      </c>
      <c r="M122" s="4">
        <v>4</v>
      </c>
      <c r="N122" s="4">
        <v>1</v>
      </c>
      <c r="O122" s="4">
        <v>1</v>
      </c>
      <c r="P122" s="4" t="s">
        <v>31</v>
      </c>
      <c r="Q122" s="4">
        <v>3</v>
      </c>
      <c r="R122" s="4">
        <v>1</v>
      </c>
      <c r="S122" s="4">
        <v>1</v>
      </c>
      <c r="T122" s="4" t="s">
        <v>32</v>
      </c>
      <c r="U122" s="4" t="s">
        <v>108</v>
      </c>
      <c r="V122" s="4">
        <v>1</v>
      </c>
      <c r="W122" s="4">
        <v>1</v>
      </c>
      <c r="X122" s="4" t="s">
        <v>34</v>
      </c>
      <c r="Y122" s="4" t="s">
        <v>35</v>
      </c>
      <c r="Z122" s="4">
        <v>1</v>
      </c>
      <c r="AA122" s="4">
        <v>1</v>
      </c>
      <c r="AB122" s="4" t="s">
        <v>109</v>
      </c>
      <c r="AC122" s="4" t="s">
        <v>110</v>
      </c>
      <c r="AD122" s="4">
        <v>1</v>
      </c>
      <c r="AE122" s="4">
        <v>1</v>
      </c>
    </row>
    <row r="123" spans="1:35" s="4" customFormat="1" x14ac:dyDescent="0.25">
      <c r="A123" s="5" t="str">
        <f t="shared" si="6"/>
        <v>زانویی 90 درجه قطر 22 3لایه طول ساق125*125</v>
      </c>
      <c r="B123" s="4">
        <v>1</v>
      </c>
      <c r="C123" s="4" t="s">
        <v>107</v>
      </c>
      <c r="D123" s="4" t="s">
        <v>28</v>
      </c>
      <c r="E123" s="4">
        <v>22</v>
      </c>
      <c r="F123" s="4">
        <v>1</v>
      </c>
      <c r="G123" s="4">
        <v>1</v>
      </c>
      <c r="L123" s="4" t="s">
        <v>30</v>
      </c>
      <c r="M123" s="4">
        <v>4</v>
      </c>
      <c r="N123" s="4">
        <v>1</v>
      </c>
      <c r="O123" s="4">
        <v>1</v>
      </c>
      <c r="P123" s="4" t="s">
        <v>31</v>
      </c>
      <c r="Q123" s="4">
        <v>3</v>
      </c>
      <c r="R123" s="4">
        <v>1</v>
      </c>
      <c r="S123" s="4">
        <v>1</v>
      </c>
      <c r="T123" s="4" t="s">
        <v>32</v>
      </c>
      <c r="U123" s="4" t="s">
        <v>108</v>
      </c>
      <c r="V123" s="4">
        <v>1</v>
      </c>
      <c r="W123" s="4">
        <v>1</v>
      </c>
      <c r="X123" s="4" t="s">
        <v>34</v>
      </c>
      <c r="Y123" s="4" t="s">
        <v>35</v>
      </c>
      <c r="Z123" s="4">
        <v>1</v>
      </c>
      <c r="AA123" s="4">
        <v>1</v>
      </c>
      <c r="AB123" s="4" t="s">
        <v>109</v>
      </c>
      <c r="AC123" s="4" t="s">
        <v>110</v>
      </c>
      <c r="AD123" s="4">
        <v>1</v>
      </c>
      <c r="AE123" s="4">
        <v>1</v>
      </c>
    </row>
    <row r="124" spans="1:35" s="4" customFormat="1" x14ac:dyDescent="0.25">
      <c r="A124" s="5" t="str">
        <f t="shared" si="6"/>
        <v>زانویی 90 درجه قطر 25 3لایه طول ساق125*125</v>
      </c>
      <c r="B124" s="4">
        <v>1</v>
      </c>
      <c r="C124" s="4" t="s">
        <v>107</v>
      </c>
      <c r="D124" s="4" t="s">
        <v>28</v>
      </c>
      <c r="E124" s="4">
        <v>25</v>
      </c>
      <c r="F124" s="4">
        <v>1</v>
      </c>
      <c r="G124" s="4">
        <v>1</v>
      </c>
      <c r="L124" s="4" t="s">
        <v>30</v>
      </c>
      <c r="M124" s="4">
        <v>4</v>
      </c>
      <c r="N124" s="4">
        <v>1</v>
      </c>
      <c r="O124" s="4">
        <v>1</v>
      </c>
      <c r="P124" s="4" t="s">
        <v>31</v>
      </c>
      <c r="Q124" s="4">
        <v>3</v>
      </c>
      <c r="R124" s="4">
        <v>1</v>
      </c>
      <c r="S124" s="4">
        <v>1</v>
      </c>
      <c r="T124" s="4" t="s">
        <v>32</v>
      </c>
      <c r="U124" s="4" t="s">
        <v>108</v>
      </c>
      <c r="V124" s="4">
        <v>1</v>
      </c>
      <c r="W124" s="4">
        <v>1</v>
      </c>
      <c r="X124" s="4" t="s">
        <v>34</v>
      </c>
      <c r="Y124" s="4" t="s">
        <v>35</v>
      </c>
      <c r="Z124" s="4">
        <v>1</v>
      </c>
      <c r="AA124" s="4">
        <v>1</v>
      </c>
      <c r="AB124" s="4" t="s">
        <v>109</v>
      </c>
      <c r="AC124" s="4" t="s">
        <v>110</v>
      </c>
      <c r="AD124" s="4">
        <v>1</v>
      </c>
      <c r="AE124" s="4">
        <v>1</v>
      </c>
    </row>
    <row r="125" spans="1:35" s="4" customFormat="1" x14ac:dyDescent="0.25">
      <c r="A125" s="5" t="str">
        <f t="shared" si="6"/>
        <v>زانویی 90 درجه قطر 28 3لایه طول ساق150*150</v>
      </c>
      <c r="B125" s="4">
        <v>1</v>
      </c>
      <c r="C125" s="4" t="s">
        <v>107</v>
      </c>
      <c r="D125" s="4" t="s">
        <v>28</v>
      </c>
      <c r="E125" s="4">
        <v>28</v>
      </c>
      <c r="F125" s="4">
        <v>1</v>
      </c>
      <c r="G125" s="4">
        <v>1</v>
      </c>
      <c r="L125" s="4" t="s">
        <v>30</v>
      </c>
      <c r="M125" s="4">
        <v>4</v>
      </c>
      <c r="N125" s="4">
        <v>1</v>
      </c>
      <c r="O125" s="4">
        <v>1</v>
      </c>
      <c r="P125" s="4" t="s">
        <v>31</v>
      </c>
      <c r="Q125" s="4">
        <v>3</v>
      </c>
      <c r="R125" s="4">
        <v>1</v>
      </c>
      <c r="S125" s="4">
        <v>1</v>
      </c>
      <c r="T125" s="4" t="s">
        <v>32</v>
      </c>
      <c r="U125" s="4" t="s">
        <v>108</v>
      </c>
      <c r="V125" s="4">
        <v>1</v>
      </c>
      <c r="W125" s="4">
        <v>1</v>
      </c>
      <c r="X125" s="4" t="s">
        <v>34</v>
      </c>
      <c r="Y125" s="4" t="s">
        <v>35</v>
      </c>
      <c r="Z125" s="4">
        <v>1</v>
      </c>
      <c r="AA125" s="4">
        <v>1</v>
      </c>
      <c r="AB125" s="4" t="s">
        <v>109</v>
      </c>
      <c r="AC125" s="4" t="s">
        <v>48</v>
      </c>
      <c r="AD125" s="4">
        <v>1</v>
      </c>
      <c r="AE125" s="4">
        <v>1</v>
      </c>
    </row>
    <row r="126" spans="1:35" s="4" customFormat="1" x14ac:dyDescent="0.25">
      <c r="A126" s="5" t="str">
        <f t="shared" si="6"/>
        <v>زانویی 90 درجه قطر 32 3لایه طول ساق150*150</v>
      </c>
      <c r="B126" s="4">
        <v>1</v>
      </c>
      <c r="C126" s="4" t="s">
        <v>107</v>
      </c>
      <c r="D126" s="4" t="s">
        <v>28</v>
      </c>
      <c r="E126" s="4">
        <v>32</v>
      </c>
      <c r="F126" s="4">
        <v>1</v>
      </c>
      <c r="G126" s="4">
        <v>1</v>
      </c>
      <c r="L126" s="4" t="s">
        <v>30</v>
      </c>
      <c r="M126" s="4">
        <v>4</v>
      </c>
      <c r="N126" s="4">
        <v>1</v>
      </c>
      <c r="O126" s="4">
        <v>1</v>
      </c>
      <c r="P126" s="4" t="s">
        <v>31</v>
      </c>
      <c r="Q126" s="4">
        <v>3</v>
      </c>
      <c r="R126" s="4">
        <v>1</v>
      </c>
      <c r="S126" s="4">
        <v>1</v>
      </c>
      <c r="T126" s="4" t="s">
        <v>32</v>
      </c>
      <c r="U126" s="4" t="s">
        <v>108</v>
      </c>
      <c r="V126" s="4">
        <v>1</v>
      </c>
      <c r="W126" s="4">
        <v>1</v>
      </c>
      <c r="X126" s="4" t="s">
        <v>34</v>
      </c>
      <c r="Y126" s="4" t="s">
        <v>35</v>
      </c>
      <c r="Z126" s="4">
        <v>1</v>
      </c>
      <c r="AA126" s="4">
        <v>1</v>
      </c>
      <c r="AB126" s="4" t="s">
        <v>109</v>
      </c>
      <c r="AC126" s="4" t="s">
        <v>48</v>
      </c>
      <c r="AD126" s="4">
        <v>1</v>
      </c>
      <c r="AE126" s="4">
        <v>1</v>
      </c>
    </row>
    <row r="127" spans="1:35" s="4" customFormat="1" x14ac:dyDescent="0.25">
      <c r="A127" s="5" t="str">
        <f t="shared" si="6"/>
        <v>زانویی 90 درجه قطر 35 3لایه طول ساق150*150</v>
      </c>
      <c r="B127" s="4">
        <v>1</v>
      </c>
      <c r="C127" s="4" t="s">
        <v>107</v>
      </c>
      <c r="D127" s="4" t="s">
        <v>28</v>
      </c>
      <c r="E127" s="4">
        <v>35</v>
      </c>
      <c r="F127" s="4">
        <v>1</v>
      </c>
      <c r="G127" s="4">
        <v>1</v>
      </c>
      <c r="L127" s="4" t="s">
        <v>30</v>
      </c>
      <c r="M127" s="4">
        <v>4</v>
      </c>
      <c r="N127" s="4">
        <v>1</v>
      </c>
      <c r="O127" s="4">
        <v>1</v>
      </c>
      <c r="P127" s="4" t="s">
        <v>31</v>
      </c>
      <c r="Q127" s="4">
        <v>3</v>
      </c>
      <c r="R127" s="4">
        <v>1</v>
      </c>
      <c r="S127" s="4">
        <v>1</v>
      </c>
      <c r="T127" s="4" t="s">
        <v>32</v>
      </c>
      <c r="U127" s="4" t="s">
        <v>108</v>
      </c>
      <c r="V127" s="4">
        <v>1</v>
      </c>
      <c r="W127" s="4">
        <v>1</v>
      </c>
      <c r="X127" s="4" t="s">
        <v>34</v>
      </c>
      <c r="Y127" s="4" t="s">
        <v>35</v>
      </c>
      <c r="Z127" s="4">
        <v>1</v>
      </c>
      <c r="AA127" s="4">
        <v>1</v>
      </c>
      <c r="AB127" s="4" t="s">
        <v>109</v>
      </c>
      <c r="AC127" s="4" t="s">
        <v>48</v>
      </c>
      <c r="AD127" s="4">
        <v>1</v>
      </c>
      <c r="AE127" s="4">
        <v>1</v>
      </c>
    </row>
    <row r="128" spans="1:35" s="4" customFormat="1" x14ac:dyDescent="0.25">
      <c r="A128" s="5" t="str">
        <f t="shared" si="6"/>
        <v>زانویی 90 درجه قطر 38 3لایه طول ساق150*150</v>
      </c>
      <c r="B128" s="4">
        <v>1</v>
      </c>
      <c r="C128" s="4" t="s">
        <v>107</v>
      </c>
      <c r="D128" s="4" t="s">
        <v>28</v>
      </c>
      <c r="E128" s="4">
        <v>38</v>
      </c>
      <c r="F128" s="4">
        <v>1</v>
      </c>
      <c r="G128" s="4">
        <v>1</v>
      </c>
      <c r="L128" s="4" t="s">
        <v>30</v>
      </c>
      <c r="M128" s="4">
        <v>4</v>
      </c>
      <c r="N128" s="4">
        <v>1</v>
      </c>
      <c r="O128" s="4">
        <v>1</v>
      </c>
      <c r="P128" s="4" t="s">
        <v>31</v>
      </c>
      <c r="Q128" s="4">
        <v>3</v>
      </c>
      <c r="R128" s="4">
        <v>1</v>
      </c>
      <c r="S128" s="4">
        <v>1</v>
      </c>
      <c r="T128" s="4" t="s">
        <v>32</v>
      </c>
      <c r="U128" s="4" t="s">
        <v>108</v>
      </c>
      <c r="V128" s="4">
        <v>1</v>
      </c>
      <c r="W128" s="4">
        <v>1</v>
      </c>
      <c r="X128" s="4" t="s">
        <v>34</v>
      </c>
      <c r="Y128" s="4" t="s">
        <v>35</v>
      </c>
      <c r="Z128" s="4">
        <v>1</v>
      </c>
      <c r="AA128" s="4">
        <v>1</v>
      </c>
      <c r="AB128" s="4" t="s">
        <v>109</v>
      </c>
      <c r="AC128" s="4" t="s">
        <v>48</v>
      </c>
      <c r="AD128" s="4">
        <v>1</v>
      </c>
      <c r="AE128" s="4">
        <v>1</v>
      </c>
    </row>
    <row r="129" spans="1:31" s="4" customFormat="1" x14ac:dyDescent="0.25">
      <c r="A129" s="5" t="str">
        <f t="shared" si="6"/>
        <v>زانویی 90 درجه قطر 41 3لایه طول ساق150*150</v>
      </c>
      <c r="B129" s="4">
        <v>1</v>
      </c>
      <c r="C129" s="4" t="s">
        <v>107</v>
      </c>
      <c r="D129" s="4" t="s">
        <v>28</v>
      </c>
      <c r="E129" s="4">
        <v>41</v>
      </c>
      <c r="F129" s="4">
        <v>1</v>
      </c>
      <c r="G129" s="4">
        <v>1</v>
      </c>
      <c r="L129" s="4" t="s">
        <v>30</v>
      </c>
      <c r="M129" s="4">
        <v>4</v>
      </c>
      <c r="N129" s="4">
        <v>1</v>
      </c>
      <c r="O129" s="4">
        <v>1</v>
      </c>
      <c r="P129" s="4" t="s">
        <v>31</v>
      </c>
      <c r="Q129" s="4">
        <v>3</v>
      </c>
      <c r="R129" s="4">
        <v>1</v>
      </c>
      <c r="S129" s="4">
        <v>1</v>
      </c>
      <c r="T129" s="4" t="s">
        <v>32</v>
      </c>
      <c r="U129" s="4" t="s">
        <v>108</v>
      </c>
      <c r="V129" s="4">
        <v>1</v>
      </c>
      <c r="W129" s="4">
        <v>1</v>
      </c>
      <c r="X129" s="4" t="s">
        <v>34</v>
      </c>
      <c r="Y129" s="4" t="s">
        <v>35</v>
      </c>
      <c r="Z129" s="4">
        <v>1</v>
      </c>
      <c r="AA129" s="4">
        <v>1</v>
      </c>
      <c r="AB129" s="4" t="s">
        <v>109</v>
      </c>
      <c r="AC129" s="4" t="s">
        <v>48</v>
      </c>
      <c r="AD129" s="4">
        <v>1</v>
      </c>
      <c r="AE129" s="4">
        <v>1</v>
      </c>
    </row>
    <row r="130" spans="1:31" s="4" customFormat="1" x14ac:dyDescent="0.25">
      <c r="A130" s="5" t="str">
        <f t="shared" si="6"/>
        <v>زانویی 90 درجه قطر 45 4لایه طول ساق150*150</v>
      </c>
      <c r="B130" s="4">
        <v>1</v>
      </c>
      <c r="C130" s="4" t="s">
        <v>107</v>
      </c>
      <c r="D130" s="4" t="s">
        <v>28</v>
      </c>
      <c r="E130" s="4">
        <v>45</v>
      </c>
      <c r="F130" s="4">
        <v>1</v>
      </c>
      <c r="G130" s="4">
        <v>1</v>
      </c>
      <c r="L130" s="4" t="s">
        <v>30</v>
      </c>
      <c r="M130" s="4">
        <v>5</v>
      </c>
      <c r="N130" s="4">
        <v>1</v>
      </c>
      <c r="O130" s="4">
        <v>1</v>
      </c>
      <c r="P130" s="4" t="s">
        <v>31</v>
      </c>
      <c r="Q130" s="4">
        <v>4</v>
      </c>
      <c r="R130" s="4">
        <v>1</v>
      </c>
      <c r="S130" s="4">
        <v>1</v>
      </c>
      <c r="T130" s="4" t="s">
        <v>32</v>
      </c>
      <c r="U130" s="4" t="s">
        <v>108</v>
      </c>
      <c r="V130" s="4">
        <v>1</v>
      </c>
      <c r="W130" s="4">
        <v>1</v>
      </c>
      <c r="X130" s="4" t="s">
        <v>34</v>
      </c>
      <c r="Y130" s="4" t="s">
        <v>35</v>
      </c>
      <c r="Z130" s="4">
        <v>1</v>
      </c>
      <c r="AA130" s="4">
        <v>1</v>
      </c>
      <c r="AB130" s="4" t="s">
        <v>109</v>
      </c>
      <c r="AC130" s="4" t="s">
        <v>48</v>
      </c>
      <c r="AD130" s="4">
        <v>1</v>
      </c>
      <c r="AE130" s="4">
        <v>1</v>
      </c>
    </row>
    <row r="131" spans="1:31" s="4" customFormat="1" x14ac:dyDescent="0.25">
      <c r="A131" s="5" t="str">
        <f t="shared" si="6"/>
        <v>زانویی 90 درجه قطر 51 4لایه طول ساق150*150</v>
      </c>
      <c r="B131" s="4">
        <v>1</v>
      </c>
      <c r="C131" s="4" t="s">
        <v>107</v>
      </c>
      <c r="D131" s="4" t="s">
        <v>28</v>
      </c>
      <c r="E131" s="4">
        <v>51</v>
      </c>
      <c r="F131" s="4">
        <v>1</v>
      </c>
      <c r="G131" s="4">
        <v>1</v>
      </c>
      <c r="L131" s="4" t="s">
        <v>30</v>
      </c>
      <c r="M131" s="4">
        <v>5</v>
      </c>
      <c r="N131" s="4">
        <v>1</v>
      </c>
      <c r="O131" s="4">
        <v>1</v>
      </c>
      <c r="P131" s="4" t="s">
        <v>31</v>
      </c>
      <c r="Q131" s="4">
        <v>4</v>
      </c>
      <c r="R131" s="4">
        <v>1</v>
      </c>
      <c r="S131" s="4">
        <v>1</v>
      </c>
      <c r="T131" s="4" t="s">
        <v>32</v>
      </c>
      <c r="U131" s="4" t="s">
        <v>108</v>
      </c>
      <c r="V131" s="4">
        <v>1</v>
      </c>
      <c r="W131" s="4">
        <v>1</v>
      </c>
      <c r="X131" s="4" t="s">
        <v>34</v>
      </c>
      <c r="Y131" s="4" t="s">
        <v>35</v>
      </c>
      <c r="Z131" s="4">
        <v>1</v>
      </c>
      <c r="AA131" s="4">
        <v>1</v>
      </c>
      <c r="AB131" s="4" t="s">
        <v>109</v>
      </c>
      <c r="AC131" s="4" t="s">
        <v>48</v>
      </c>
      <c r="AD131" s="4">
        <v>1</v>
      </c>
      <c r="AE131" s="4">
        <v>1</v>
      </c>
    </row>
    <row r="132" spans="1:31" s="4" customFormat="1" x14ac:dyDescent="0.25">
      <c r="A132" s="5" t="str">
        <f t="shared" si="6"/>
        <v>زانویی 90 درجه قطر 51 4لایه طول ساق260*260</v>
      </c>
      <c r="B132" s="4">
        <v>1</v>
      </c>
      <c r="C132" s="4" t="s">
        <v>107</v>
      </c>
      <c r="D132" s="4" t="s">
        <v>28</v>
      </c>
      <c r="E132" s="4">
        <v>51</v>
      </c>
      <c r="F132" s="4">
        <v>1</v>
      </c>
      <c r="G132" s="4">
        <v>1</v>
      </c>
      <c r="L132" s="4" t="s">
        <v>30</v>
      </c>
      <c r="M132" s="4">
        <v>5</v>
      </c>
      <c r="N132" s="4">
        <v>1</v>
      </c>
      <c r="O132" s="4">
        <v>1</v>
      </c>
      <c r="P132" s="4" t="s">
        <v>31</v>
      </c>
      <c r="Q132" s="4">
        <v>4</v>
      </c>
      <c r="R132" s="4">
        <v>1</v>
      </c>
      <c r="S132" s="4">
        <v>1</v>
      </c>
      <c r="AB132" s="4" t="s">
        <v>109</v>
      </c>
      <c r="AC132" s="4" t="s">
        <v>111</v>
      </c>
      <c r="AD132" s="4">
        <v>1</v>
      </c>
      <c r="AE132" s="4">
        <v>1</v>
      </c>
    </row>
    <row r="133" spans="1:31" s="4" customFormat="1" x14ac:dyDescent="0.25">
      <c r="A133" s="5" t="str">
        <f t="shared" si="6"/>
        <v>زانویی 90 درجه قطر 54 4لایه طول ساق150*150</v>
      </c>
      <c r="B133" s="4">
        <v>1</v>
      </c>
      <c r="C133" s="4" t="s">
        <v>107</v>
      </c>
      <c r="D133" s="4" t="s">
        <v>28</v>
      </c>
      <c r="E133" s="4">
        <v>54</v>
      </c>
      <c r="F133" s="4">
        <v>1</v>
      </c>
      <c r="G133" s="4">
        <v>1</v>
      </c>
      <c r="L133" s="4" t="s">
        <v>30</v>
      </c>
      <c r="M133" s="4">
        <v>5</v>
      </c>
      <c r="N133" s="4">
        <v>1</v>
      </c>
      <c r="O133" s="4">
        <v>1</v>
      </c>
      <c r="P133" s="4" t="s">
        <v>31</v>
      </c>
      <c r="Q133" s="4">
        <v>4</v>
      </c>
      <c r="R133" s="4">
        <v>1</v>
      </c>
      <c r="S133" s="4">
        <v>1</v>
      </c>
      <c r="T133" s="4" t="s">
        <v>32</v>
      </c>
      <c r="U133" s="4" t="s">
        <v>108</v>
      </c>
      <c r="V133" s="4">
        <v>1</v>
      </c>
      <c r="W133" s="4">
        <v>1</v>
      </c>
      <c r="X133" s="4" t="s">
        <v>34</v>
      </c>
      <c r="Y133" s="4" t="s">
        <v>35</v>
      </c>
      <c r="Z133" s="4">
        <v>1</v>
      </c>
      <c r="AA133" s="4">
        <v>1</v>
      </c>
      <c r="AB133" s="4" t="s">
        <v>109</v>
      </c>
      <c r="AC133" s="4" t="s">
        <v>48</v>
      </c>
      <c r="AD133" s="4">
        <v>1</v>
      </c>
      <c r="AE133" s="4">
        <v>1</v>
      </c>
    </row>
    <row r="134" spans="1:31" s="4" customFormat="1" x14ac:dyDescent="0.25">
      <c r="A134" s="5" t="str">
        <f t="shared" si="6"/>
        <v>زانویی 90 درجه قطر 57 4لایه طول ساق150*150</v>
      </c>
      <c r="B134" s="4">
        <v>1</v>
      </c>
      <c r="C134" s="4" t="s">
        <v>107</v>
      </c>
      <c r="D134" s="4" t="s">
        <v>28</v>
      </c>
      <c r="E134" s="4">
        <v>57</v>
      </c>
      <c r="F134" s="4">
        <v>1</v>
      </c>
      <c r="G134" s="4">
        <v>1</v>
      </c>
      <c r="L134" s="4" t="s">
        <v>30</v>
      </c>
      <c r="M134" s="4">
        <v>5</v>
      </c>
      <c r="N134" s="4">
        <v>1</v>
      </c>
      <c r="O134" s="4">
        <v>1</v>
      </c>
      <c r="P134" s="4" t="s">
        <v>31</v>
      </c>
      <c r="Q134" s="4">
        <v>4</v>
      </c>
      <c r="R134" s="4">
        <v>1</v>
      </c>
      <c r="S134" s="4">
        <v>1</v>
      </c>
      <c r="T134" s="4" t="s">
        <v>32</v>
      </c>
      <c r="U134" s="4" t="s">
        <v>108</v>
      </c>
      <c r="V134" s="4">
        <v>1</v>
      </c>
      <c r="W134" s="4">
        <v>1</v>
      </c>
      <c r="X134" s="4" t="s">
        <v>34</v>
      </c>
      <c r="Y134" s="4" t="s">
        <v>35</v>
      </c>
      <c r="Z134" s="4">
        <v>1</v>
      </c>
      <c r="AA134" s="4">
        <v>1</v>
      </c>
      <c r="AB134" s="4" t="s">
        <v>109</v>
      </c>
      <c r="AC134" s="4" t="s">
        <v>48</v>
      </c>
      <c r="AD134" s="4">
        <v>1</v>
      </c>
      <c r="AE134" s="4">
        <v>1</v>
      </c>
    </row>
    <row r="135" spans="1:31" s="4" customFormat="1" x14ac:dyDescent="0.25">
      <c r="A135" s="5" t="str">
        <f t="shared" si="6"/>
        <v>زانویی 90 درجه قطر 60 4لایه طول ساق150*150</v>
      </c>
      <c r="B135" s="4">
        <v>1</v>
      </c>
      <c r="C135" s="4" t="s">
        <v>107</v>
      </c>
      <c r="D135" s="4" t="s">
        <v>28</v>
      </c>
      <c r="E135" s="4">
        <v>60</v>
      </c>
      <c r="F135" s="4">
        <v>1</v>
      </c>
      <c r="G135" s="4">
        <v>1</v>
      </c>
      <c r="L135" s="4" t="s">
        <v>30</v>
      </c>
      <c r="M135" s="4">
        <v>5</v>
      </c>
      <c r="N135" s="4">
        <v>1</v>
      </c>
      <c r="O135" s="4">
        <v>1</v>
      </c>
      <c r="P135" s="4" t="s">
        <v>31</v>
      </c>
      <c r="Q135" s="4">
        <v>4</v>
      </c>
      <c r="R135" s="4">
        <v>1</v>
      </c>
      <c r="S135" s="4">
        <v>1</v>
      </c>
      <c r="T135" s="4" t="s">
        <v>32</v>
      </c>
      <c r="U135" s="4" t="s">
        <v>108</v>
      </c>
      <c r="V135" s="4">
        <v>1</v>
      </c>
      <c r="W135" s="4">
        <v>1</v>
      </c>
      <c r="X135" s="4" t="s">
        <v>34</v>
      </c>
      <c r="Y135" s="4" t="s">
        <v>35</v>
      </c>
      <c r="Z135" s="4">
        <v>1</v>
      </c>
      <c r="AA135" s="4">
        <v>1</v>
      </c>
      <c r="AB135" s="4" t="s">
        <v>109</v>
      </c>
      <c r="AC135" s="4" t="s">
        <v>48</v>
      </c>
      <c r="AD135" s="4">
        <v>1</v>
      </c>
      <c r="AE135" s="4">
        <v>1</v>
      </c>
    </row>
    <row r="136" spans="1:31" s="4" customFormat="1" x14ac:dyDescent="0.25">
      <c r="A136" s="5" t="str">
        <f t="shared" si="6"/>
        <v>زانویی 90 درجه قطر 63 4لایه طول ساق150*150</v>
      </c>
      <c r="B136" s="4">
        <v>1</v>
      </c>
      <c r="C136" s="4" t="s">
        <v>107</v>
      </c>
      <c r="D136" s="4" t="s">
        <v>28</v>
      </c>
      <c r="E136" s="4">
        <v>63</v>
      </c>
      <c r="F136" s="4">
        <v>1</v>
      </c>
      <c r="G136" s="4">
        <v>1</v>
      </c>
      <c r="L136" s="4" t="s">
        <v>30</v>
      </c>
      <c r="M136" s="4">
        <v>5</v>
      </c>
      <c r="N136" s="4">
        <v>1</v>
      </c>
      <c r="O136" s="4">
        <v>1</v>
      </c>
      <c r="P136" s="4" t="s">
        <v>31</v>
      </c>
      <c r="Q136" s="4">
        <v>4</v>
      </c>
      <c r="R136" s="4">
        <v>1</v>
      </c>
      <c r="S136" s="4">
        <v>1</v>
      </c>
      <c r="T136" s="4" t="s">
        <v>32</v>
      </c>
      <c r="U136" s="4" t="s">
        <v>108</v>
      </c>
      <c r="V136" s="4">
        <v>1</v>
      </c>
      <c r="W136" s="4">
        <v>1</v>
      </c>
      <c r="X136" s="4" t="s">
        <v>34</v>
      </c>
      <c r="Y136" s="4" t="s">
        <v>35</v>
      </c>
      <c r="Z136" s="4">
        <v>1</v>
      </c>
      <c r="AA136" s="4">
        <v>1</v>
      </c>
      <c r="AB136" s="4" t="s">
        <v>109</v>
      </c>
      <c r="AC136" s="4" t="s">
        <v>48</v>
      </c>
      <c r="AD136" s="4">
        <v>1</v>
      </c>
      <c r="AE136" s="4">
        <v>1</v>
      </c>
    </row>
    <row r="137" spans="1:31" s="4" customFormat="1" x14ac:dyDescent="0.25">
      <c r="A137" s="5" t="str">
        <f t="shared" si="6"/>
        <v>زانویی 90 درجه قطر 65 4لایه طول ساق150*150</v>
      </c>
      <c r="B137" s="4">
        <v>1</v>
      </c>
      <c r="C137" s="4" t="s">
        <v>107</v>
      </c>
      <c r="D137" s="4" t="s">
        <v>28</v>
      </c>
      <c r="E137" s="4">
        <v>65</v>
      </c>
      <c r="F137" s="4">
        <v>1</v>
      </c>
      <c r="G137" s="4">
        <v>1</v>
      </c>
      <c r="L137" s="4" t="s">
        <v>30</v>
      </c>
      <c r="M137" s="4">
        <v>5</v>
      </c>
      <c r="N137" s="4">
        <v>1</v>
      </c>
      <c r="O137" s="4">
        <v>1</v>
      </c>
      <c r="P137" s="4" t="s">
        <v>31</v>
      </c>
      <c r="Q137" s="4">
        <v>4</v>
      </c>
      <c r="R137" s="4">
        <v>1</v>
      </c>
      <c r="S137" s="4">
        <v>1</v>
      </c>
      <c r="T137" s="4" t="s">
        <v>32</v>
      </c>
      <c r="U137" s="4" t="s">
        <v>108</v>
      </c>
      <c r="V137" s="4">
        <v>1</v>
      </c>
      <c r="W137" s="4">
        <v>1</v>
      </c>
      <c r="X137" s="4" t="s">
        <v>34</v>
      </c>
      <c r="Y137" s="4" t="s">
        <v>35</v>
      </c>
      <c r="Z137" s="4">
        <v>1</v>
      </c>
      <c r="AA137" s="4">
        <v>1</v>
      </c>
      <c r="AB137" s="4" t="s">
        <v>109</v>
      </c>
      <c r="AC137" s="4" t="s">
        <v>48</v>
      </c>
      <c r="AD137" s="4">
        <v>1</v>
      </c>
      <c r="AE137" s="4">
        <v>1</v>
      </c>
    </row>
    <row r="138" spans="1:31" s="4" customFormat="1" x14ac:dyDescent="0.25">
      <c r="A138" s="5" t="str">
        <f t="shared" si="6"/>
        <v>زانویی 90 درجه قطر 65 4لایه طول ساق200*200</v>
      </c>
      <c r="B138" s="4">
        <v>1</v>
      </c>
      <c r="C138" s="4" t="s">
        <v>107</v>
      </c>
      <c r="D138" s="4" t="s">
        <v>28</v>
      </c>
      <c r="E138" s="4">
        <v>65</v>
      </c>
      <c r="F138" s="4">
        <v>1</v>
      </c>
      <c r="G138" s="4">
        <v>1</v>
      </c>
      <c r="L138" s="4" t="s">
        <v>30</v>
      </c>
      <c r="M138" s="4">
        <v>5</v>
      </c>
      <c r="N138" s="4">
        <v>1</v>
      </c>
      <c r="O138" s="4">
        <v>1</v>
      </c>
      <c r="P138" s="4" t="s">
        <v>31</v>
      </c>
      <c r="Q138" s="4">
        <v>4</v>
      </c>
      <c r="R138" s="4">
        <v>1</v>
      </c>
      <c r="S138" s="4">
        <v>1</v>
      </c>
      <c r="T138" s="4" t="s">
        <v>32</v>
      </c>
      <c r="U138" s="4" t="s">
        <v>108</v>
      </c>
      <c r="V138" s="4">
        <v>1</v>
      </c>
      <c r="W138" s="4">
        <v>1</v>
      </c>
      <c r="X138" s="4" t="s">
        <v>34</v>
      </c>
      <c r="Y138" s="4" t="s">
        <v>35</v>
      </c>
      <c r="Z138" s="4">
        <v>1</v>
      </c>
      <c r="AA138" s="4">
        <v>1</v>
      </c>
      <c r="AB138" s="4" t="s">
        <v>109</v>
      </c>
      <c r="AC138" s="4" t="s">
        <v>50</v>
      </c>
      <c r="AD138" s="4">
        <v>1</v>
      </c>
      <c r="AE138" s="4">
        <v>1</v>
      </c>
    </row>
    <row r="139" spans="1:31" s="4" customFormat="1" x14ac:dyDescent="0.25">
      <c r="A139" s="5" t="str">
        <f t="shared" si="6"/>
        <v>زانویی 90 درجه قطر 70 4لایه طول ساق150*150</v>
      </c>
      <c r="B139" s="4">
        <v>1</v>
      </c>
      <c r="C139" s="4" t="s">
        <v>107</v>
      </c>
      <c r="D139" s="4" t="s">
        <v>28</v>
      </c>
      <c r="E139" s="4">
        <v>70</v>
      </c>
      <c r="F139" s="4">
        <v>1</v>
      </c>
      <c r="G139" s="4">
        <v>1</v>
      </c>
      <c r="L139" s="4" t="s">
        <v>30</v>
      </c>
      <c r="M139" s="4">
        <v>5</v>
      </c>
      <c r="N139" s="4">
        <v>1</v>
      </c>
      <c r="O139" s="4">
        <v>1</v>
      </c>
      <c r="P139" s="4" t="s">
        <v>31</v>
      </c>
      <c r="Q139" s="4">
        <v>4</v>
      </c>
      <c r="R139" s="4">
        <v>1</v>
      </c>
      <c r="S139" s="4">
        <v>1</v>
      </c>
      <c r="T139" s="4" t="s">
        <v>32</v>
      </c>
      <c r="U139" s="4" t="s">
        <v>108</v>
      </c>
      <c r="V139" s="4">
        <v>1</v>
      </c>
      <c r="W139" s="4">
        <v>1</v>
      </c>
      <c r="X139" s="4" t="s">
        <v>34</v>
      </c>
      <c r="Y139" s="4" t="s">
        <v>35</v>
      </c>
      <c r="Z139" s="4">
        <v>1</v>
      </c>
      <c r="AA139" s="4">
        <v>1</v>
      </c>
      <c r="AB139" s="4" t="s">
        <v>109</v>
      </c>
      <c r="AC139" s="4" t="s">
        <v>48</v>
      </c>
      <c r="AD139" s="4">
        <v>1</v>
      </c>
      <c r="AE139" s="4">
        <v>1</v>
      </c>
    </row>
    <row r="140" spans="1:31" s="4" customFormat="1" x14ac:dyDescent="0.25">
      <c r="A140" s="5" t="str">
        <f t="shared" si="6"/>
        <v>زانویی 90 درجه قطر 70 4لایه طول ساق200*200</v>
      </c>
      <c r="B140" s="4">
        <v>1</v>
      </c>
      <c r="C140" s="4" t="s">
        <v>107</v>
      </c>
      <c r="D140" s="4" t="s">
        <v>28</v>
      </c>
      <c r="E140" s="4">
        <v>70</v>
      </c>
      <c r="F140" s="4">
        <v>1</v>
      </c>
      <c r="G140" s="4">
        <v>1</v>
      </c>
      <c r="L140" s="4" t="s">
        <v>30</v>
      </c>
      <c r="M140" s="4">
        <v>5</v>
      </c>
      <c r="N140" s="4">
        <v>1</v>
      </c>
      <c r="O140" s="4">
        <v>1</v>
      </c>
      <c r="P140" s="4" t="s">
        <v>31</v>
      </c>
      <c r="Q140" s="4">
        <v>4</v>
      </c>
      <c r="R140" s="4">
        <v>1</v>
      </c>
      <c r="S140" s="4">
        <v>1</v>
      </c>
      <c r="T140" s="4" t="s">
        <v>32</v>
      </c>
      <c r="U140" s="4" t="s">
        <v>108</v>
      </c>
      <c r="V140" s="4">
        <v>1</v>
      </c>
      <c r="W140" s="4">
        <v>1</v>
      </c>
      <c r="X140" s="4" t="s">
        <v>34</v>
      </c>
      <c r="Y140" s="4" t="s">
        <v>35</v>
      </c>
      <c r="Z140" s="4">
        <v>1</v>
      </c>
      <c r="AA140" s="4">
        <v>1</v>
      </c>
      <c r="AB140" s="4" t="s">
        <v>109</v>
      </c>
      <c r="AC140" s="4" t="s">
        <v>50</v>
      </c>
      <c r="AD140" s="4">
        <v>1</v>
      </c>
      <c r="AE140" s="4">
        <v>1</v>
      </c>
    </row>
    <row r="141" spans="1:31" s="4" customFormat="1" x14ac:dyDescent="0.25">
      <c r="A141" s="5" t="str">
        <f t="shared" si="6"/>
        <v>زانویی 90 درجه قطر 76 5لایه طول ساق175*175</v>
      </c>
      <c r="B141" s="4">
        <v>1</v>
      </c>
      <c r="C141" s="4" t="s">
        <v>107</v>
      </c>
      <c r="D141" s="4" t="s">
        <v>28</v>
      </c>
      <c r="E141" s="4">
        <v>76</v>
      </c>
      <c r="F141" s="4">
        <v>1</v>
      </c>
      <c r="G141" s="4">
        <v>1</v>
      </c>
      <c r="L141" s="4" t="s">
        <v>30</v>
      </c>
      <c r="M141" s="4">
        <v>6</v>
      </c>
      <c r="N141" s="4">
        <v>1</v>
      </c>
      <c r="O141" s="4">
        <v>1</v>
      </c>
      <c r="P141" s="4" t="s">
        <v>31</v>
      </c>
      <c r="Q141" s="4">
        <v>5</v>
      </c>
      <c r="R141" s="4">
        <v>1</v>
      </c>
      <c r="S141" s="4">
        <v>1</v>
      </c>
      <c r="T141" s="4" t="s">
        <v>32</v>
      </c>
      <c r="U141" s="4" t="s">
        <v>108</v>
      </c>
      <c r="V141" s="4">
        <v>1</v>
      </c>
      <c r="W141" s="4">
        <v>1</v>
      </c>
      <c r="X141" s="4" t="s">
        <v>34</v>
      </c>
      <c r="Y141" s="4" t="s">
        <v>35</v>
      </c>
      <c r="Z141" s="4">
        <v>1</v>
      </c>
      <c r="AA141" s="4">
        <v>1</v>
      </c>
      <c r="AB141" s="4" t="s">
        <v>109</v>
      </c>
      <c r="AC141" s="4" t="s">
        <v>112</v>
      </c>
      <c r="AD141" s="4">
        <v>1</v>
      </c>
      <c r="AE141" s="4">
        <v>1</v>
      </c>
    </row>
    <row r="142" spans="1:31" s="4" customFormat="1" x14ac:dyDescent="0.25">
      <c r="A142" s="5" t="str">
        <f t="shared" si="6"/>
        <v>زانویی 90 درجه قطر 80 5لایه طول ساق175*175</v>
      </c>
      <c r="B142" s="4">
        <v>1</v>
      </c>
      <c r="C142" s="4" t="s">
        <v>107</v>
      </c>
      <c r="D142" s="4" t="s">
        <v>28</v>
      </c>
      <c r="E142" s="4">
        <v>80</v>
      </c>
      <c r="F142" s="4">
        <v>1</v>
      </c>
      <c r="G142" s="4">
        <v>1</v>
      </c>
      <c r="L142" s="4" t="s">
        <v>30</v>
      </c>
      <c r="M142" s="4">
        <v>6</v>
      </c>
      <c r="N142" s="4">
        <v>1</v>
      </c>
      <c r="O142" s="4">
        <v>1</v>
      </c>
      <c r="P142" s="4" t="s">
        <v>31</v>
      </c>
      <c r="Q142" s="4">
        <v>5</v>
      </c>
      <c r="R142" s="4">
        <v>1</v>
      </c>
      <c r="S142" s="4">
        <v>1</v>
      </c>
      <c r="T142" s="4" t="s">
        <v>32</v>
      </c>
      <c r="U142" s="4" t="s">
        <v>108</v>
      </c>
      <c r="V142" s="4">
        <v>1</v>
      </c>
      <c r="W142" s="4">
        <v>1</v>
      </c>
      <c r="X142" s="4" t="s">
        <v>34</v>
      </c>
      <c r="Y142" s="4" t="s">
        <v>35</v>
      </c>
      <c r="Z142" s="4">
        <v>1</v>
      </c>
      <c r="AA142" s="4">
        <v>1</v>
      </c>
      <c r="AB142" s="4" t="s">
        <v>109</v>
      </c>
      <c r="AC142" s="4" t="s">
        <v>112</v>
      </c>
      <c r="AD142" s="4">
        <v>1</v>
      </c>
      <c r="AE142" s="4">
        <v>1</v>
      </c>
    </row>
    <row r="143" spans="1:31" s="4" customFormat="1" x14ac:dyDescent="0.25">
      <c r="A143" s="5" t="str">
        <f t="shared" si="6"/>
        <v>زانویی 90 درجه قطر 89 5لایه طول ساق175*175</v>
      </c>
      <c r="B143" s="4">
        <v>1</v>
      </c>
      <c r="C143" s="4" t="s">
        <v>107</v>
      </c>
      <c r="D143" s="4" t="s">
        <v>28</v>
      </c>
      <c r="E143" s="4">
        <v>89</v>
      </c>
      <c r="F143" s="4">
        <v>1</v>
      </c>
      <c r="G143" s="4">
        <v>1</v>
      </c>
      <c r="L143" s="4" t="s">
        <v>30</v>
      </c>
      <c r="M143" s="4">
        <v>6</v>
      </c>
      <c r="N143" s="4">
        <v>1</v>
      </c>
      <c r="O143" s="4">
        <v>1</v>
      </c>
      <c r="P143" s="4" t="s">
        <v>31</v>
      </c>
      <c r="Q143" s="4">
        <v>5</v>
      </c>
      <c r="R143" s="4">
        <v>1</v>
      </c>
      <c r="S143" s="4">
        <v>1</v>
      </c>
      <c r="T143" s="4" t="s">
        <v>32</v>
      </c>
      <c r="U143" s="4" t="s">
        <v>108</v>
      </c>
      <c r="V143" s="4">
        <v>1</v>
      </c>
      <c r="W143" s="4">
        <v>1</v>
      </c>
      <c r="X143" s="4" t="s">
        <v>34</v>
      </c>
      <c r="Y143" s="4" t="s">
        <v>35</v>
      </c>
      <c r="Z143" s="4">
        <v>1</v>
      </c>
      <c r="AA143" s="4">
        <v>1</v>
      </c>
      <c r="AB143" s="4" t="s">
        <v>109</v>
      </c>
      <c r="AC143" s="4" t="s">
        <v>112</v>
      </c>
      <c r="AD143" s="4">
        <v>1</v>
      </c>
      <c r="AE143" s="4">
        <v>1</v>
      </c>
    </row>
    <row r="144" spans="1:31" s="4" customFormat="1" x14ac:dyDescent="0.25">
      <c r="A144" s="5" t="str">
        <f t="shared" si="6"/>
        <v>زانویی 90 درجه قطر 102 6لایه طول ساق175*175</v>
      </c>
      <c r="B144" s="4">
        <v>1</v>
      </c>
      <c r="C144" s="4" t="s">
        <v>107</v>
      </c>
      <c r="D144" s="4" t="s">
        <v>28</v>
      </c>
      <c r="E144" s="4">
        <v>102</v>
      </c>
      <c r="F144" s="4">
        <v>1</v>
      </c>
      <c r="G144" s="4">
        <v>1</v>
      </c>
      <c r="L144" s="4" t="s">
        <v>30</v>
      </c>
      <c r="M144" s="4">
        <v>7</v>
      </c>
      <c r="N144" s="4">
        <v>1</v>
      </c>
      <c r="O144" s="4">
        <v>1</v>
      </c>
      <c r="P144" s="4" t="s">
        <v>31</v>
      </c>
      <c r="Q144" s="4">
        <v>6</v>
      </c>
      <c r="R144" s="4">
        <v>1</v>
      </c>
      <c r="S144" s="4">
        <v>1</v>
      </c>
      <c r="T144" s="4" t="s">
        <v>32</v>
      </c>
      <c r="U144" s="4" t="s">
        <v>108</v>
      </c>
      <c r="V144" s="4">
        <v>1</v>
      </c>
      <c r="W144" s="4">
        <v>1</v>
      </c>
      <c r="X144" s="4" t="s">
        <v>34</v>
      </c>
      <c r="Y144" s="4" t="s">
        <v>35</v>
      </c>
      <c r="Z144" s="4">
        <v>1</v>
      </c>
      <c r="AA144" s="4">
        <v>1</v>
      </c>
      <c r="AB144" s="4" t="s">
        <v>109</v>
      </c>
      <c r="AC144" s="4" t="s">
        <v>112</v>
      </c>
      <c r="AD144" s="4">
        <v>1</v>
      </c>
      <c r="AE144" s="4">
        <v>1</v>
      </c>
    </row>
    <row r="145" spans="1:45" s="4" customFormat="1" x14ac:dyDescent="0.25">
      <c r="A145" s="5" t="str">
        <f t="shared" si="6"/>
        <v>زانویی 90 درجه قطر 114 6لایه طول ساق175*175</v>
      </c>
      <c r="B145" s="4">
        <v>1</v>
      </c>
      <c r="C145" s="4" t="s">
        <v>107</v>
      </c>
      <c r="D145" s="4" t="s">
        <v>28</v>
      </c>
      <c r="E145" s="4">
        <v>114</v>
      </c>
      <c r="F145" s="4">
        <v>1</v>
      </c>
      <c r="G145" s="4">
        <v>1</v>
      </c>
      <c r="L145" s="4" t="s">
        <v>30</v>
      </c>
      <c r="M145" s="4">
        <v>7</v>
      </c>
      <c r="N145" s="4">
        <v>1</v>
      </c>
      <c r="O145" s="4">
        <v>1</v>
      </c>
      <c r="P145" s="4" t="s">
        <v>31</v>
      </c>
      <c r="Q145" s="4">
        <v>6</v>
      </c>
      <c r="R145" s="4">
        <v>1</v>
      </c>
      <c r="S145" s="4">
        <v>1</v>
      </c>
      <c r="T145" s="4" t="s">
        <v>32</v>
      </c>
      <c r="U145" s="4" t="s">
        <v>108</v>
      </c>
      <c r="V145" s="4">
        <v>1</v>
      </c>
      <c r="W145" s="4">
        <v>1</v>
      </c>
      <c r="X145" s="4" t="s">
        <v>34</v>
      </c>
      <c r="Y145" s="4" t="s">
        <v>35</v>
      </c>
      <c r="Z145" s="4">
        <v>1</v>
      </c>
      <c r="AA145" s="4">
        <v>1</v>
      </c>
      <c r="AB145" s="4" t="s">
        <v>109</v>
      </c>
      <c r="AC145" s="4" t="s">
        <v>112</v>
      </c>
      <c r="AD145" s="4">
        <v>1</v>
      </c>
      <c r="AE145" s="4">
        <v>1</v>
      </c>
    </row>
    <row r="146" spans="1:45" s="6" customFormat="1" x14ac:dyDescent="0.25">
      <c r="A146" s="6" t="str">
        <f>"تیوپ کتابی بادشو(شفاف)" &amp; " ضخامت "&amp; M146 &amp;" "&amp; AC146 &amp;"متری"</f>
        <v>تیوپ کتابی بادشو(شفاف) ضخامت 1.2 20متری</v>
      </c>
      <c r="B146" s="6">
        <v>1</v>
      </c>
      <c r="C146" s="6" t="s">
        <v>113</v>
      </c>
      <c r="L146" s="6" t="s">
        <v>30</v>
      </c>
      <c r="M146" s="6">
        <v>1.2</v>
      </c>
      <c r="N146" s="6">
        <v>1</v>
      </c>
      <c r="O146" s="6">
        <v>1</v>
      </c>
      <c r="T146" s="6" t="s">
        <v>32</v>
      </c>
      <c r="U146" s="6" t="s">
        <v>114</v>
      </c>
      <c r="AB146" s="6" t="s">
        <v>115</v>
      </c>
      <c r="AC146" s="6">
        <v>20</v>
      </c>
      <c r="AD146" s="6">
        <v>1</v>
      </c>
      <c r="AE146" s="6">
        <v>1</v>
      </c>
      <c r="AJ146" s="6" t="s">
        <v>120</v>
      </c>
      <c r="AK146" s="6">
        <v>15</v>
      </c>
      <c r="AL146" s="6">
        <v>1</v>
      </c>
      <c r="AM146" s="6">
        <v>1</v>
      </c>
    </row>
    <row r="147" spans="1:45" s="6" customFormat="1" x14ac:dyDescent="0.25">
      <c r="A147" s="6" t="str">
        <f t="shared" ref="A147:A149" si="7">"تیوپ کتابی بادشو(شفاف)" &amp; " ضخامت "&amp; M147 &amp;" "&amp; AC147 &amp;"متری"</f>
        <v>تیوپ کتابی بادشو(شفاف) ضخامت 1.5 20متری</v>
      </c>
      <c r="B147" s="6">
        <v>1</v>
      </c>
      <c r="C147" s="6" t="s">
        <v>113</v>
      </c>
      <c r="L147" s="6" t="s">
        <v>30</v>
      </c>
      <c r="M147" s="6">
        <v>1.5</v>
      </c>
      <c r="N147" s="6">
        <v>1</v>
      </c>
      <c r="O147" s="6">
        <v>1</v>
      </c>
      <c r="T147" s="6" t="s">
        <v>32</v>
      </c>
      <c r="U147" s="6" t="s">
        <v>114</v>
      </c>
      <c r="AB147" s="6" t="s">
        <v>115</v>
      </c>
      <c r="AC147" s="6">
        <v>20</v>
      </c>
      <c r="AD147" s="6">
        <v>1</v>
      </c>
      <c r="AE147" s="6">
        <v>1</v>
      </c>
      <c r="AJ147" s="6" t="s">
        <v>120</v>
      </c>
      <c r="AK147" s="6">
        <v>20</v>
      </c>
      <c r="AL147" s="6">
        <v>1</v>
      </c>
      <c r="AM147" s="6">
        <v>1</v>
      </c>
    </row>
    <row r="148" spans="1:45" s="6" customFormat="1" x14ac:dyDescent="0.25">
      <c r="A148" s="6" t="str">
        <f t="shared" si="7"/>
        <v>تیوپ کتابی بادشو(شفاف) ضخامت 2 20متری</v>
      </c>
      <c r="B148" s="6">
        <v>1</v>
      </c>
      <c r="C148" s="6" t="s">
        <v>113</v>
      </c>
      <c r="L148" s="6" t="s">
        <v>30</v>
      </c>
      <c r="M148" s="6">
        <v>2</v>
      </c>
      <c r="N148" s="6">
        <v>1</v>
      </c>
      <c r="O148" s="6">
        <v>1</v>
      </c>
      <c r="T148" s="6" t="s">
        <v>32</v>
      </c>
      <c r="U148" s="6" t="s">
        <v>114</v>
      </c>
      <c r="AB148" s="6" t="s">
        <v>115</v>
      </c>
      <c r="AC148" s="6">
        <v>20</v>
      </c>
      <c r="AD148" s="6">
        <v>1</v>
      </c>
      <c r="AE148" s="6">
        <v>1</v>
      </c>
      <c r="AJ148" s="6" t="s">
        <v>120</v>
      </c>
      <c r="AK148" s="6">
        <v>25</v>
      </c>
      <c r="AL148" s="6">
        <v>1</v>
      </c>
      <c r="AM148" s="6">
        <v>1</v>
      </c>
    </row>
    <row r="149" spans="1:45" s="6" customFormat="1" x14ac:dyDescent="0.25">
      <c r="A149" s="6" t="str">
        <f t="shared" si="7"/>
        <v>تیوپ کتابی بادشو(شفاف) ضخامت 2 20متری</v>
      </c>
      <c r="B149" s="6">
        <v>1</v>
      </c>
      <c r="C149" s="6" t="s">
        <v>113</v>
      </c>
      <c r="L149" s="6" t="s">
        <v>30</v>
      </c>
      <c r="M149" s="6">
        <v>2</v>
      </c>
      <c r="N149" s="6">
        <v>1</v>
      </c>
      <c r="O149" s="6">
        <v>1</v>
      </c>
      <c r="T149" s="6" t="s">
        <v>32</v>
      </c>
      <c r="U149" s="6" t="s">
        <v>114</v>
      </c>
      <c r="AB149" s="6" t="s">
        <v>115</v>
      </c>
      <c r="AC149" s="6">
        <v>20</v>
      </c>
      <c r="AD149" s="6">
        <v>1</v>
      </c>
      <c r="AE149" s="6">
        <v>1</v>
      </c>
      <c r="AJ149" s="6" t="s">
        <v>120</v>
      </c>
      <c r="AK149" s="6">
        <v>30</v>
      </c>
      <c r="AL149" s="6">
        <v>1</v>
      </c>
      <c r="AM149" s="6">
        <v>1</v>
      </c>
    </row>
    <row r="150" spans="1:45" s="14" customFormat="1" x14ac:dyDescent="0.25">
      <c r="A150" s="14" t="str">
        <f>" تیوپ های لاستیکی بادشو" &amp;"قطر"&amp; E150 &amp; "ضخامت "&amp;" "&amp; M150 &amp;" "&amp; AC150 &amp;"متری"</f>
        <v xml:space="preserve"> تیوپ های لاستیکی بادشوقطر18ضخامت  5 3متری</v>
      </c>
      <c r="B150" s="14">
        <v>1</v>
      </c>
      <c r="C150" s="14" t="s">
        <v>121</v>
      </c>
      <c r="D150" s="14" t="s">
        <v>28</v>
      </c>
      <c r="E150" s="14">
        <v>18</v>
      </c>
      <c r="F150" s="14">
        <v>1</v>
      </c>
      <c r="G150" s="14">
        <v>1</v>
      </c>
      <c r="L150" s="14" t="s">
        <v>30</v>
      </c>
      <c r="M150" s="14">
        <v>5</v>
      </c>
      <c r="N150" s="14">
        <v>1</v>
      </c>
      <c r="O150" s="14">
        <v>1</v>
      </c>
      <c r="AB150" s="14" t="s">
        <v>122</v>
      </c>
      <c r="AC150" s="14">
        <v>3</v>
      </c>
      <c r="AD150" s="14">
        <v>1</v>
      </c>
      <c r="AE150" s="14">
        <v>1</v>
      </c>
      <c r="AN150" s="14" t="s">
        <v>127</v>
      </c>
      <c r="AO150" s="14">
        <v>28</v>
      </c>
      <c r="AP150" s="14">
        <v>1</v>
      </c>
      <c r="AQ150" s="14">
        <v>1</v>
      </c>
    </row>
    <row r="151" spans="1:45" s="14" customFormat="1" x14ac:dyDescent="0.25">
      <c r="A151" s="14" t="str">
        <f t="shared" ref="A151:A158" si="8">" تیوپ های لاستیکی بادشو" &amp;"قطر"&amp; E151 &amp; "ضخامت "&amp;" "&amp; M151 &amp;" "&amp; AC151 &amp;"متری"</f>
        <v xml:space="preserve"> تیوپ های لاستیکی بادشوقطر20ضخامت  5 3متری</v>
      </c>
      <c r="B151" s="14">
        <v>1</v>
      </c>
      <c r="C151" s="14" t="s">
        <v>121</v>
      </c>
      <c r="D151" s="14" t="s">
        <v>28</v>
      </c>
      <c r="E151" s="14">
        <v>20</v>
      </c>
      <c r="F151" s="14">
        <v>1</v>
      </c>
      <c r="G151" s="14">
        <v>1</v>
      </c>
      <c r="L151" s="14" t="s">
        <v>30</v>
      </c>
      <c r="M151" s="14">
        <v>5</v>
      </c>
      <c r="N151" s="14">
        <v>1</v>
      </c>
      <c r="O151" s="14">
        <v>1</v>
      </c>
      <c r="AB151" s="14" t="s">
        <v>122</v>
      </c>
      <c r="AC151" s="14">
        <v>3</v>
      </c>
      <c r="AD151" s="14">
        <v>1</v>
      </c>
      <c r="AE151" s="14">
        <v>1</v>
      </c>
      <c r="AN151" s="14" t="s">
        <v>127</v>
      </c>
      <c r="AO151" s="14">
        <v>30</v>
      </c>
      <c r="AP151" s="14">
        <v>1</v>
      </c>
      <c r="AQ151" s="14">
        <v>1</v>
      </c>
    </row>
    <row r="152" spans="1:45" s="14" customFormat="1" x14ac:dyDescent="0.25">
      <c r="A152" s="14" t="str">
        <f t="shared" si="8"/>
        <v xml:space="preserve"> تیوپ های لاستیکی بادشوقطر22ضخامت  5 6متری</v>
      </c>
      <c r="B152" s="14">
        <v>1</v>
      </c>
      <c r="C152" s="14" t="s">
        <v>121</v>
      </c>
      <c r="D152" s="14" t="s">
        <v>28</v>
      </c>
      <c r="E152" s="14">
        <v>22</v>
      </c>
      <c r="F152" s="14">
        <v>1</v>
      </c>
      <c r="G152" s="14">
        <v>1</v>
      </c>
      <c r="L152" s="14" t="s">
        <v>30</v>
      </c>
      <c r="M152" s="14">
        <v>5</v>
      </c>
      <c r="N152" s="14">
        <v>1</v>
      </c>
      <c r="O152" s="14">
        <v>1</v>
      </c>
      <c r="AB152" s="14" t="s">
        <v>122</v>
      </c>
      <c r="AC152" s="14">
        <v>6</v>
      </c>
      <c r="AD152" s="14">
        <v>1</v>
      </c>
      <c r="AE152" s="14">
        <v>1</v>
      </c>
      <c r="AN152" s="14" t="s">
        <v>127</v>
      </c>
      <c r="AO152" s="14">
        <v>32</v>
      </c>
      <c r="AP152" s="14">
        <v>1</v>
      </c>
      <c r="AQ152" s="14">
        <v>1</v>
      </c>
    </row>
    <row r="153" spans="1:45" s="14" customFormat="1" x14ac:dyDescent="0.25">
      <c r="A153" s="14" t="str">
        <f t="shared" si="8"/>
        <v xml:space="preserve"> تیوپ های لاستیکی بادشوقطر25ضخامت  5 6متری</v>
      </c>
      <c r="B153" s="14">
        <v>1</v>
      </c>
      <c r="C153" s="14" t="s">
        <v>121</v>
      </c>
      <c r="D153" s="14" t="s">
        <v>28</v>
      </c>
      <c r="E153" s="14">
        <v>25</v>
      </c>
      <c r="F153" s="14">
        <v>1</v>
      </c>
      <c r="G153" s="14">
        <v>1</v>
      </c>
      <c r="L153" s="14" t="s">
        <v>30</v>
      </c>
      <c r="M153" s="14">
        <v>5</v>
      </c>
      <c r="N153" s="14">
        <v>1</v>
      </c>
      <c r="O153" s="14">
        <v>1</v>
      </c>
      <c r="AB153" s="14" t="s">
        <v>122</v>
      </c>
      <c r="AC153" s="14">
        <v>6</v>
      </c>
      <c r="AD153" s="14">
        <v>1</v>
      </c>
      <c r="AE153" s="14">
        <v>1</v>
      </c>
      <c r="AN153" s="14" t="s">
        <v>127</v>
      </c>
      <c r="AO153" s="14">
        <v>35</v>
      </c>
      <c r="AP153" s="14">
        <v>1</v>
      </c>
      <c r="AQ153" s="14">
        <v>1</v>
      </c>
    </row>
    <row r="154" spans="1:45" s="14" customFormat="1" x14ac:dyDescent="0.25">
      <c r="A154" s="14" t="str">
        <f t="shared" si="8"/>
        <v xml:space="preserve"> تیوپ های لاستیکی بادشوقطر28ضخامت  5 6متری</v>
      </c>
      <c r="B154" s="14">
        <v>1</v>
      </c>
      <c r="C154" s="14" t="s">
        <v>121</v>
      </c>
      <c r="D154" s="14" t="s">
        <v>28</v>
      </c>
      <c r="E154" s="14">
        <v>28</v>
      </c>
      <c r="F154" s="14">
        <v>1</v>
      </c>
      <c r="G154" s="14">
        <v>1</v>
      </c>
      <c r="L154" s="14" t="s">
        <v>30</v>
      </c>
      <c r="M154" s="14">
        <v>5</v>
      </c>
      <c r="N154" s="14">
        <v>1</v>
      </c>
      <c r="O154" s="14">
        <v>1</v>
      </c>
      <c r="AB154" s="14" t="s">
        <v>122</v>
      </c>
      <c r="AC154" s="14">
        <v>6</v>
      </c>
      <c r="AD154" s="14">
        <v>1</v>
      </c>
      <c r="AE154" s="14">
        <v>1</v>
      </c>
      <c r="AN154" s="14" t="s">
        <v>127</v>
      </c>
      <c r="AO154" s="14">
        <v>38</v>
      </c>
      <c r="AP154" s="14">
        <v>1</v>
      </c>
      <c r="AQ154" s="14">
        <v>1</v>
      </c>
    </row>
    <row r="155" spans="1:45" s="14" customFormat="1" x14ac:dyDescent="0.25">
      <c r="A155" s="14" t="str">
        <f t="shared" si="8"/>
        <v xml:space="preserve"> تیوپ های لاستیکی بادشوقطر32ضخامت  5 6متری</v>
      </c>
      <c r="B155" s="14">
        <v>1</v>
      </c>
      <c r="C155" s="14" t="s">
        <v>121</v>
      </c>
      <c r="D155" s="14" t="s">
        <v>28</v>
      </c>
      <c r="E155" s="14">
        <v>32</v>
      </c>
      <c r="F155" s="14">
        <v>1</v>
      </c>
      <c r="G155" s="14">
        <v>1</v>
      </c>
      <c r="L155" s="14" t="s">
        <v>30</v>
      </c>
      <c r="M155" s="14">
        <v>5</v>
      </c>
      <c r="N155" s="14">
        <v>1</v>
      </c>
      <c r="O155" s="14">
        <v>1</v>
      </c>
      <c r="AB155" s="14" t="s">
        <v>122</v>
      </c>
      <c r="AC155" s="14">
        <v>6</v>
      </c>
      <c r="AD155" s="14">
        <v>1</v>
      </c>
      <c r="AE155" s="14">
        <v>1</v>
      </c>
      <c r="AN155" s="14" t="s">
        <v>127</v>
      </c>
      <c r="AO155" s="14">
        <v>42</v>
      </c>
      <c r="AP155" s="14">
        <v>1</v>
      </c>
      <c r="AQ155" s="14">
        <v>1</v>
      </c>
    </row>
    <row r="156" spans="1:45" s="14" customFormat="1" x14ac:dyDescent="0.25">
      <c r="A156" s="14" t="str">
        <f t="shared" si="8"/>
        <v xml:space="preserve"> تیوپ های لاستیکی بادشوقطر35ضخامت  5 6متری</v>
      </c>
      <c r="B156" s="14">
        <v>1</v>
      </c>
      <c r="C156" s="14" t="s">
        <v>121</v>
      </c>
      <c r="D156" s="14" t="s">
        <v>28</v>
      </c>
      <c r="E156" s="14">
        <v>35</v>
      </c>
      <c r="F156" s="14">
        <v>1</v>
      </c>
      <c r="G156" s="14">
        <v>1</v>
      </c>
      <c r="L156" s="14" t="s">
        <v>30</v>
      </c>
      <c r="M156" s="14">
        <v>5</v>
      </c>
      <c r="N156" s="14">
        <v>1</v>
      </c>
      <c r="O156" s="14">
        <v>1</v>
      </c>
      <c r="AB156" s="14" t="s">
        <v>122</v>
      </c>
      <c r="AC156" s="14">
        <v>6</v>
      </c>
      <c r="AD156" s="14">
        <v>1</v>
      </c>
      <c r="AE156" s="14">
        <v>1</v>
      </c>
      <c r="AN156" s="14" t="s">
        <v>127</v>
      </c>
      <c r="AO156" s="14">
        <v>45</v>
      </c>
      <c r="AP156" s="14">
        <v>1</v>
      </c>
      <c r="AQ156" s="14">
        <v>1</v>
      </c>
    </row>
    <row r="157" spans="1:45" s="14" customFormat="1" x14ac:dyDescent="0.25">
      <c r="A157" s="14" t="str">
        <f t="shared" si="8"/>
        <v xml:space="preserve"> تیوپ های لاستیکی بادشوقطر40ضخامت  5 6متری</v>
      </c>
      <c r="B157" s="14">
        <v>1</v>
      </c>
      <c r="C157" s="14" t="s">
        <v>121</v>
      </c>
      <c r="D157" s="14" t="s">
        <v>28</v>
      </c>
      <c r="E157" s="14">
        <v>40</v>
      </c>
      <c r="F157" s="14">
        <v>1</v>
      </c>
      <c r="G157" s="14">
        <v>1</v>
      </c>
      <c r="L157" s="14" t="s">
        <v>30</v>
      </c>
      <c r="M157" s="14">
        <v>5</v>
      </c>
      <c r="N157" s="14">
        <v>1</v>
      </c>
      <c r="O157" s="14">
        <v>1</v>
      </c>
      <c r="AB157" s="14" t="s">
        <v>122</v>
      </c>
      <c r="AC157" s="14">
        <v>6</v>
      </c>
      <c r="AD157" s="14">
        <v>1</v>
      </c>
      <c r="AE157" s="14">
        <v>1</v>
      </c>
      <c r="AN157" s="14" t="s">
        <v>127</v>
      </c>
      <c r="AO157" s="14">
        <v>50</v>
      </c>
      <c r="AP157" s="14">
        <v>1</v>
      </c>
      <c r="AQ157" s="14">
        <v>1</v>
      </c>
    </row>
    <row r="158" spans="1:45" s="14" customFormat="1" x14ac:dyDescent="0.25">
      <c r="A158" s="14" t="str">
        <f t="shared" si="8"/>
        <v xml:space="preserve"> تیوپ های لاستیکی بادشوقطر50ضخامت  5 6متری</v>
      </c>
      <c r="B158" s="14">
        <v>1</v>
      </c>
      <c r="C158" s="14" t="s">
        <v>121</v>
      </c>
      <c r="D158" s="14" t="s">
        <v>28</v>
      </c>
      <c r="E158" s="14">
        <v>50</v>
      </c>
      <c r="F158" s="14">
        <v>1</v>
      </c>
      <c r="G158" s="14">
        <v>1</v>
      </c>
      <c r="L158" s="14" t="s">
        <v>30</v>
      </c>
      <c r="M158" s="14">
        <v>5</v>
      </c>
      <c r="N158" s="14">
        <v>1</v>
      </c>
      <c r="O158" s="14">
        <v>1</v>
      </c>
      <c r="AB158" s="14" t="s">
        <v>122</v>
      </c>
      <c r="AC158" s="14">
        <v>6</v>
      </c>
      <c r="AD158" s="14">
        <v>1</v>
      </c>
      <c r="AE158" s="14">
        <v>1</v>
      </c>
      <c r="AN158" s="14" t="s">
        <v>127</v>
      </c>
      <c r="AO158" s="14">
        <v>60</v>
      </c>
      <c r="AP158" s="14">
        <v>1</v>
      </c>
      <c r="AQ158" s="14">
        <v>1</v>
      </c>
    </row>
    <row r="159" spans="1:45" s="4" customFormat="1" x14ac:dyDescent="0.25">
      <c r="A159" s="4" t="str">
        <f>"  شلنگ تخلیه سیمان"&amp;" " &amp;"قطر"&amp; E159 &amp;" "&amp; "ضخامت "&amp; M159 &amp;" "&amp;Q159 &amp; "لایه"&amp;" "&amp; AC159 &amp;"متری"</f>
        <v xml:space="preserve">  شلنگ تخلیه سیمان قطر102 ضخامت 8 6لایه 4متری</v>
      </c>
      <c r="B159" s="4">
        <v>1</v>
      </c>
      <c r="C159" s="4" t="s">
        <v>128</v>
      </c>
      <c r="D159" s="4" t="s">
        <v>28</v>
      </c>
      <c r="E159" s="4">
        <v>102</v>
      </c>
      <c r="F159" s="4">
        <v>1</v>
      </c>
      <c r="G159" s="4">
        <v>1</v>
      </c>
      <c r="L159" s="4" t="s">
        <v>30</v>
      </c>
      <c r="M159" s="4">
        <v>8</v>
      </c>
      <c r="N159" s="4">
        <v>1</v>
      </c>
      <c r="O159" s="4">
        <v>1</v>
      </c>
      <c r="P159" s="4" t="s">
        <v>31</v>
      </c>
      <c r="Q159" s="4">
        <v>6</v>
      </c>
      <c r="R159" s="4">
        <v>1</v>
      </c>
      <c r="S159" s="4">
        <v>1</v>
      </c>
      <c r="AB159" s="4" t="s">
        <v>122</v>
      </c>
      <c r="AC159" s="4">
        <v>4</v>
      </c>
      <c r="AD159" s="4">
        <v>1</v>
      </c>
      <c r="AE159" s="4">
        <v>1</v>
      </c>
      <c r="AR159" s="4" t="s">
        <v>133</v>
      </c>
      <c r="AS159" s="4">
        <v>13</v>
      </c>
    </row>
    <row r="160" spans="1:45" s="4" customFormat="1" x14ac:dyDescent="0.25">
      <c r="A160" s="4" t="str">
        <f t="shared" ref="A160:A164" si="9">"  شلنگ تخلیه سیمان"&amp;" " &amp;"قطر"&amp; E160 &amp;" "&amp; "ضخامت "&amp; M160 &amp;" "&amp;Q160 &amp; "لایه"&amp;" "&amp; AC160 &amp;"متری"</f>
        <v xml:space="preserve">  شلنگ تخلیه سیمان قطر102 ضخامت 8 6لایه 6متری</v>
      </c>
      <c r="B160" s="4">
        <v>1</v>
      </c>
      <c r="C160" s="4" t="s">
        <v>128</v>
      </c>
      <c r="D160" s="4" t="s">
        <v>28</v>
      </c>
      <c r="E160" s="4">
        <v>102</v>
      </c>
      <c r="F160" s="4">
        <v>1</v>
      </c>
      <c r="G160" s="4">
        <v>1</v>
      </c>
      <c r="L160" s="4" t="s">
        <v>30</v>
      </c>
      <c r="M160" s="4">
        <v>8</v>
      </c>
      <c r="N160" s="4">
        <v>1</v>
      </c>
      <c r="O160" s="4">
        <v>1</v>
      </c>
      <c r="P160" s="4" t="s">
        <v>31</v>
      </c>
      <c r="Q160" s="4">
        <v>6</v>
      </c>
      <c r="R160" s="4">
        <v>1</v>
      </c>
      <c r="S160" s="4">
        <v>1</v>
      </c>
      <c r="AB160" s="4" t="s">
        <v>122</v>
      </c>
      <c r="AC160" s="4">
        <v>6</v>
      </c>
      <c r="AD160" s="4">
        <v>1</v>
      </c>
      <c r="AE160" s="4">
        <v>1</v>
      </c>
      <c r="AR160" s="4" t="s">
        <v>133</v>
      </c>
      <c r="AS160" s="4">
        <v>19</v>
      </c>
    </row>
    <row r="161" spans="1:45" s="4" customFormat="1" x14ac:dyDescent="0.25">
      <c r="A161" s="4" t="str">
        <f t="shared" si="9"/>
        <v xml:space="preserve">  شلنگ تخلیه سیمان قطر102 ضخامت 8 6لایه 7متری</v>
      </c>
      <c r="B161" s="4">
        <v>1</v>
      </c>
      <c r="C161" s="4" t="s">
        <v>128</v>
      </c>
      <c r="D161" s="4" t="s">
        <v>28</v>
      </c>
      <c r="E161" s="4">
        <v>102</v>
      </c>
      <c r="F161" s="4">
        <v>1</v>
      </c>
      <c r="G161" s="4">
        <v>1</v>
      </c>
      <c r="L161" s="4" t="s">
        <v>30</v>
      </c>
      <c r="M161" s="4">
        <v>8</v>
      </c>
      <c r="N161" s="4">
        <v>1</v>
      </c>
      <c r="O161" s="4">
        <v>1</v>
      </c>
      <c r="P161" s="4" t="s">
        <v>31</v>
      </c>
      <c r="Q161" s="4">
        <v>6</v>
      </c>
      <c r="R161" s="4">
        <v>1</v>
      </c>
      <c r="S161" s="4">
        <v>1</v>
      </c>
      <c r="AB161" s="4" t="s">
        <v>122</v>
      </c>
      <c r="AC161" s="4">
        <v>7</v>
      </c>
      <c r="AD161" s="4">
        <v>1</v>
      </c>
      <c r="AE161" s="4">
        <v>1</v>
      </c>
      <c r="AR161" s="4" t="s">
        <v>133</v>
      </c>
      <c r="AS161" s="4">
        <v>22</v>
      </c>
    </row>
    <row r="162" spans="1:45" s="4" customFormat="1" x14ac:dyDescent="0.25">
      <c r="A162" s="4" t="str">
        <f t="shared" si="9"/>
        <v xml:space="preserve">  شلنگ تخلیه سیمان قطر102 ضخامت 10 8لایه 4متری</v>
      </c>
      <c r="B162" s="4">
        <v>1</v>
      </c>
      <c r="C162" s="4" t="s">
        <v>128</v>
      </c>
      <c r="D162" s="4" t="s">
        <v>28</v>
      </c>
      <c r="E162" s="4">
        <v>102</v>
      </c>
      <c r="F162" s="4">
        <v>1</v>
      </c>
      <c r="G162" s="4">
        <v>1</v>
      </c>
      <c r="L162" s="4" t="s">
        <v>30</v>
      </c>
      <c r="M162" s="4">
        <v>10</v>
      </c>
      <c r="N162" s="4">
        <v>1</v>
      </c>
      <c r="O162" s="4">
        <v>1</v>
      </c>
      <c r="P162" s="4" t="s">
        <v>31</v>
      </c>
      <c r="Q162" s="4">
        <v>8</v>
      </c>
      <c r="R162" s="4">
        <v>1</v>
      </c>
      <c r="S162" s="4">
        <v>1</v>
      </c>
      <c r="AB162" s="4" t="s">
        <v>122</v>
      </c>
      <c r="AC162" s="4">
        <v>4</v>
      </c>
      <c r="AD162" s="4">
        <v>1</v>
      </c>
      <c r="AE162" s="4">
        <v>1</v>
      </c>
      <c r="AR162" s="4" t="s">
        <v>133</v>
      </c>
      <c r="AS162" s="4">
        <v>16</v>
      </c>
    </row>
    <row r="163" spans="1:45" s="4" customFormat="1" x14ac:dyDescent="0.25">
      <c r="A163" s="4" t="str">
        <f t="shared" si="9"/>
        <v xml:space="preserve">  شلنگ تخلیه سیمان قطر102 ضخامت 10 8لایه 6متری</v>
      </c>
      <c r="B163" s="4">
        <v>1</v>
      </c>
      <c r="C163" s="4" t="s">
        <v>128</v>
      </c>
      <c r="D163" s="4" t="s">
        <v>28</v>
      </c>
      <c r="E163" s="4">
        <v>102</v>
      </c>
      <c r="F163" s="4">
        <v>1</v>
      </c>
      <c r="G163" s="4">
        <v>1</v>
      </c>
      <c r="L163" s="4" t="s">
        <v>30</v>
      </c>
      <c r="M163" s="4">
        <v>10</v>
      </c>
      <c r="N163" s="4">
        <v>1</v>
      </c>
      <c r="O163" s="4">
        <v>1</v>
      </c>
      <c r="P163" s="4" t="s">
        <v>31</v>
      </c>
      <c r="Q163" s="4">
        <v>8</v>
      </c>
      <c r="R163" s="4">
        <v>1</v>
      </c>
      <c r="S163" s="4">
        <v>1</v>
      </c>
      <c r="AB163" s="4" t="s">
        <v>122</v>
      </c>
      <c r="AC163" s="4">
        <v>6</v>
      </c>
      <c r="AD163" s="4">
        <v>1</v>
      </c>
      <c r="AE163" s="4">
        <v>1</v>
      </c>
      <c r="AR163" s="4" t="s">
        <v>133</v>
      </c>
      <c r="AS163" s="4">
        <v>24</v>
      </c>
    </row>
    <row r="164" spans="1:45" s="4" customFormat="1" x14ac:dyDescent="0.25">
      <c r="A164" s="4" t="str">
        <f t="shared" si="9"/>
        <v xml:space="preserve">  شلنگ تخلیه سیمان قطر102 ضخامت 10 8لایه 7متری</v>
      </c>
      <c r="B164" s="4">
        <v>1</v>
      </c>
      <c r="C164" s="4" t="s">
        <v>128</v>
      </c>
      <c r="D164" s="4" t="s">
        <v>28</v>
      </c>
      <c r="E164" s="4">
        <v>102</v>
      </c>
      <c r="F164" s="4">
        <v>1</v>
      </c>
      <c r="G164" s="4">
        <v>1</v>
      </c>
      <c r="L164" s="4" t="s">
        <v>30</v>
      </c>
      <c r="M164" s="4">
        <v>10</v>
      </c>
      <c r="N164" s="4">
        <v>1</v>
      </c>
      <c r="O164" s="4">
        <v>1</v>
      </c>
      <c r="P164" s="4" t="s">
        <v>31</v>
      </c>
      <c r="Q164" s="4">
        <v>8</v>
      </c>
      <c r="R164" s="4">
        <v>1</v>
      </c>
      <c r="S164" s="4">
        <v>1</v>
      </c>
      <c r="AB164" s="4" t="s">
        <v>122</v>
      </c>
      <c r="AC164" s="4">
        <v>7</v>
      </c>
      <c r="AD164" s="4">
        <v>1</v>
      </c>
      <c r="AE164" s="4">
        <v>1</v>
      </c>
      <c r="AR164" s="4" t="s">
        <v>133</v>
      </c>
      <c r="AS164" s="4">
        <v>28</v>
      </c>
    </row>
    <row r="165" spans="1:45" s="13" customFormat="1" x14ac:dyDescent="0.25">
      <c r="A165" s="13" t="str">
        <f>"  شلنگ های مستقیم(صاف)"&amp;" " &amp;"قطر"&amp; E165 &amp;" "&amp; "ضخامت "&amp; M165 &amp;" "&amp;Q165 &amp; "لایه"&amp;" "&amp; AC165 &amp;"متری"</f>
        <v xml:space="preserve">  شلنگ های مستقیم(صاف) قطر14 ضخامت 4 3لایه 1متری</v>
      </c>
      <c r="B165" s="13">
        <v>1</v>
      </c>
      <c r="C165" s="13" t="s">
        <v>134</v>
      </c>
      <c r="D165" s="13" t="s">
        <v>28</v>
      </c>
      <c r="E165" s="13">
        <v>14</v>
      </c>
      <c r="F165" s="13">
        <v>1</v>
      </c>
      <c r="G165" s="13">
        <v>1</v>
      </c>
      <c r="L165" s="13" t="s">
        <v>30</v>
      </c>
      <c r="M165" s="13">
        <v>4</v>
      </c>
      <c r="N165" s="13">
        <v>1</v>
      </c>
      <c r="O165" s="13">
        <v>1</v>
      </c>
      <c r="P165" s="13" t="s">
        <v>31</v>
      </c>
      <c r="Q165" s="13">
        <v>3</v>
      </c>
      <c r="R165" s="13">
        <v>1</v>
      </c>
      <c r="S165" s="13">
        <v>1</v>
      </c>
      <c r="T165" s="13" t="s">
        <v>32</v>
      </c>
      <c r="U165" s="13" t="s">
        <v>108</v>
      </c>
      <c r="V165" s="13">
        <v>1</v>
      </c>
      <c r="W165" s="13">
        <v>1</v>
      </c>
      <c r="X165" s="13" t="s">
        <v>34</v>
      </c>
      <c r="Y165" s="13" t="s">
        <v>35</v>
      </c>
      <c r="Z165" s="13">
        <v>1</v>
      </c>
      <c r="AA165" s="13">
        <v>1</v>
      </c>
      <c r="AB165" s="13" t="s">
        <v>122</v>
      </c>
      <c r="AC165" s="13">
        <v>1</v>
      </c>
      <c r="AD165" s="13">
        <v>1</v>
      </c>
      <c r="AE165" s="13">
        <v>1</v>
      </c>
    </row>
    <row r="166" spans="1:45" s="13" customFormat="1" x14ac:dyDescent="0.25">
      <c r="A166" s="13" t="str">
        <f t="shared" ref="A166:A192" si="10">"  شلنگ های مستقیم(صاف)"&amp;" " &amp;"قطر"&amp; E166 &amp;" "&amp; "ضخامت "&amp; M166 &amp;" "&amp;Q166 &amp; "لایه"&amp;" "&amp; AC166 &amp;"متری"</f>
        <v xml:space="preserve">  شلنگ های مستقیم(صاف) قطر16 ضخامت 4 3لایه 1متری</v>
      </c>
      <c r="B166" s="13">
        <v>1</v>
      </c>
      <c r="C166" s="13" t="s">
        <v>134</v>
      </c>
      <c r="D166" s="13" t="s">
        <v>28</v>
      </c>
      <c r="E166" s="13">
        <v>16</v>
      </c>
      <c r="F166" s="13">
        <v>1</v>
      </c>
      <c r="G166" s="13">
        <v>1</v>
      </c>
      <c r="L166" s="13" t="s">
        <v>30</v>
      </c>
      <c r="M166" s="13">
        <v>4</v>
      </c>
      <c r="N166" s="13">
        <v>1</v>
      </c>
      <c r="O166" s="13">
        <v>1</v>
      </c>
      <c r="P166" s="13" t="s">
        <v>31</v>
      </c>
      <c r="Q166" s="13">
        <v>3</v>
      </c>
      <c r="R166" s="13">
        <v>1</v>
      </c>
      <c r="S166" s="13">
        <v>1</v>
      </c>
      <c r="T166" s="13" t="s">
        <v>32</v>
      </c>
      <c r="U166" s="13" t="s">
        <v>108</v>
      </c>
      <c r="V166" s="13">
        <v>1</v>
      </c>
      <c r="W166" s="13">
        <v>1</v>
      </c>
      <c r="X166" s="13" t="s">
        <v>34</v>
      </c>
      <c r="Y166" s="13" t="s">
        <v>35</v>
      </c>
      <c r="Z166" s="13">
        <v>1</v>
      </c>
      <c r="AA166" s="13">
        <v>1</v>
      </c>
      <c r="AB166" s="13" t="s">
        <v>122</v>
      </c>
      <c r="AC166" s="13">
        <v>1</v>
      </c>
      <c r="AD166" s="13">
        <v>1</v>
      </c>
      <c r="AE166" s="13">
        <v>1</v>
      </c>
    </row>
    <row r="167" spans="1:45" s="13" customFormat="1" x14ac:dyDescent="0.25">
      <c r="A167" s="13" t="str">
        <f t="shared" si="10"/>
        <v xml:space="preserve">  شلنگ های مستقیم(صاف) قطر18 ضخامت 4 3لایه 1متری</v>
      </c>
      <c r="B167" s="13">
        <v>1</v>
      </c>
      <c r="C167" s="13" t="s">
        <v>134</v>
      </c>
      <c r="D167" s="13" t="s">
        <v>28</v>
      </c>
      <c r="E167" s="13">
        <v>18</v>
      </c>
      <c r="F167" s="13">
        <v>1</v>
      </c>
      <c r="G167" s="13">
        <v>1</v>
      </c>
      <c r="L167" s="13" t="s">
        <v>30</v>
      </c>
      <c r="M167" s="13">
        <v>4</v>
      </c>
      <c r="N167" s="13">
        <v>1</v>
      </c>
      <c r="O167" s="13">
        <v>1</v>
      </c>
      <c r="P167" s="13" t="s">
        <v>31</v>
      </c>
      <c r="Q167" s="13">
        <v>3</v>
      </c>
      <c r="R167" s="13">
        <v>1</v>
      </c>
      <c r="S167" s="13">
        <v>1</v>
      </c>
      <c r="T167" s="13" t="s">
        <v>32</v>
      </c>
      <c r="U167" s="13" t="s">
        <v>108</v>
      </c>
      <c r="V167" s="13">
        <v>1</v>
      </c>
      <c r="W167" s="13">
        <v>1</v>
      </c>
      <c r="X167" s="13" t="s">
        <v>34</v>
      </c>
      <c r="Y167" s="13" t="s">
        <v>35</v>
      </c>
      <c r="Z167" s="13">
        <v>1</v>
      </c>
      <c r="AA167" s="13">
        <v>1</v>
      </c>
      <c r="AB167" s="13" t="s">
        <v>122</v>
      </c>
      <c r="AC167" s="13">
        <v>1</v>
      </c>
      <c r="AD167" s="13">
        <v>1</v>
      </c>
      <c r="AE167" s="13">
        <v>1</v>
      </c>
    </row>
    <row r="168" spans="1:45" s="13" customFormat="1" x14ac:dyDescent="0.25">
      <c r="A168" s="13" t="str">
        <f t="shared" si="10"/>
        <v xml:space="preserve">  شلنگ های مستقیم(صاف) قطر20 ضخامت 4 3لایه 1متری</v>
      </c>
      <c r="B168" s="13">
        <v>1</v>
      </c>
      <c r="C168" s="13" t="s">
        <v>134</v>
      </c>
      <c r="D168" s="13" t="s">
        <v>28</v>
      </c>
      <c r="E168" s="13">
        <v>20</v>
      </c>
      <c r="F168" s="13">
        <v>1</v>
      </c>
      <c r="G168" s="13">
        <v>1</v>
      </c>
      <c r="L168" s="13" t="s">
        <v>30</v>
      </c>
      <c r="M168" s="13">
        <v>4</v>
      </c>
      <c r="N168" s="13">
        <v>1</v>
      </c>
      <c r="O168" s="13">
        <v>1</v>
      </c>
      <c r="P168" s="13" t="s">
        <v>31</v>
      </c>
      <c r="Q168" s="13">
        <v>3</v>
      </c>
      <c r="R168" s="13">
        <v>1</v>
      </c>
      <c r="S168" s="13">
        <v>1</v>
      </c>
      <c r="T168" s="13" t="s">
        <v>32</v>
      </c>
      <c r="U168" s="13" t="s">
        <v>108</v>
      </c>
      <c r="V168" s="13">
        <v>1</v>
      </c>
      <c r="W168" s="13">
        <v>1</v>
      </c>
      <c r="X168" s="13" t="s">
        <v>34</v>
      </c>
      <c r="Y168" s="13" t="s">
        <v>35</v>
      </c>
      <c r="Z168" s="13">
        <v>1</v>
      </c>
      <c r="AA168" s="13">
        <v>1</v>
      </c>
      <c r="AB168" s="13" t="s">
        <v>122</v>
      </c>
      <c r="AC168" s="13">
        <v>1</v>
      </c>
      <c r="AD168" s="13">
        <v>1</v>
      </c>
      <c r="AE168" s="13">
        <v>1</v>
      </c>
    </row>
    <row r="169" spans="1:45" s="13" customFormat="1" x14ac:dyDescent="0.25">
      <c r="A169" s="13" t="str">
        <f t="shared" si="10"/>
        <v xml:space="preserve">  شلنگ های مستقیم(صاف) قطر22 ضخامت 4 3لایه 1متری</v>
      </c>
      <c r="B169" s="13">
        <v>1</v>
      </c>
      <c r="C169" s="13" t="s">
        <v>134</v>
      </c>
      <c r="D169" s="13" t="s">
        <v>28</v>
      </c>
      <c r="E169" s="13">
        <v>22</v>
      </c>
      <c r="F169" s="13">
        <v>1</v>
      </c>
      <c r="G169" s="13">
        <v>1</v>
      </c>
      <c r="L169" s="13" t="s">
        <v>30</v>
      </c>
      <c r="M169" s="13">
        <v>4</v>
      </c>
      <c r="N169" s="13">
        <v>1</v>
      </c>
      <c r="O169" s="13">
        <v>1</v>
      </c>
      <c r="P169" s="13" t="s">
        <v>31</v>
      </c>
      <c r="Q169" s="13">
        <v>3</v>
      </c>
      <c r="R169" s="13">
        <v>1</v>
      </c>
      <c r="S169" s="13">
        <v>1</v>
      </c>
      <c r="T169" s="13" t="s">
        <v>32</v>
      </c>
      <c r="U169" s="13" t="s">
        <v>108</v>
      </c>
      <c r="V169" s="13">
        <v>1</v>
      </c>
      <c r="W169" s="13">
        <v>1</v>
      </c>
      <c r="X169" s="13" t="s">
        <v>34</v>
      </c>
      <c r="Y169" s="13" t="s">
        <v>35</v>
      </c>
      <c r="Z169" s="13">
        <v>1</v>
      </c>
      <c r="AA169" s="13">
        <v>1</v>
      </c>
      <c r="AB169" s="13" t="s">
        <v>122</v>
      </c>
      <c r="AC169" s="13">
        <v>1</v>
      </c>
      <c r="AD169" s="13">
        <v>1</v>
      </c>
      <c r="AE169" s="13">
        <v>1</v>
      </c>
    </row>
    <row r="170" spans="1:45" s="13" customFormat="1" x14ac:dyDescent="0.25">
      <c r="A170" s="13" t="str">
        <f t="shared" si="10"/>
        <v xml:space="preserve">  شلنگ های مستقیم(صاف) قطر25 ضخامت 4 3لایه 1متری</v>
      </c>
      <c r="B170" s="13">
        <v>1</v>
      </c>
      <c r="C170" s="13" t="s">
        <v>134</v>
      </c>
      <c r="D170" s="13" t="s">
        <v>28</v>
      </c>
      <c r="E170" s="13">
        <v>25</v>
      </c>
      <c r="F170" s="13">
        <v>1</v>
      </c>
      <c r="G170" s="13">
        <v>1</v>
      </c>
      <c r="L170" s="13" t="s">
        <v>30</v>
      </c>
      <c r="M170" s="13">
        <v>4</v>
      </c>
      <c r="N170" s="13">
        <v>1</v>
      </c>
      <c r="O170" s="13">
        <v>1</v>
      </c>
      <c r="P170" s="13" t="s">
        <v>31</v>
      </c>
      <c r="Q170" s="13">
        <v>3</v>
      </c>
      <c r="R170" s="13">
        <v>1</v>
      </c>
      <c r="S170" s="13">
        <v>1</v>
      </c>
      <c r="T170" s="13" t="s">
        <v>32</v>
      </c>
      <c r="U170" s="13" t="s">
        <v>108</v>
      </c>
      <c r="V170" s="13">
        <v>1</v>
      </c>
      <c r="W170" s="13">
        <v>1</v>
      </c>
      <c r="X170" s="13" t="s">
        <v>34</v>
      </c>
      <c r="Y170" s="13" t="s">
        <v>35</v>
      </c>
      <c r="Z170" s="13">
        <v>1</v>
      </c>
      <c r="AA170" s="13">
        <v>1</v>
      </c>
      <c r="AB170" s="13" t="s">
        <v>122</v>
      </c>
      <c r="AC170" s="13">
        <v>1</v>
      </c>
      <c r="AD170" s="13">
        <v>1</v>
      </c>
      <c r="AE170" s="13">
        <v>1</v>
      </c>
    </row>
    <row r="171" spans="1:45" s="13" customFormat="1" x14ac:dyDescent="0.25">
      <c r="A171" s="13" t="str">
        <f t="shared" si="10"/>
        <v xml:space="preserve">  شلنگ های مستقیم(صاف) قطر28 ضخامت 4 3لایه 1متری</v>
      </c>
      <c r="B171" s="13">
        <v>1</v>
      </c>
      <c r="C171" s="13" t="s">
        <v>134</v>
      </c>
      <c r="D171" s="13" t="s">
        <v>28</v>
      </c>
      <c r="E171" s="13">
        <v>28</v>
      </c>
      <c r="F171" s="13">
        <v>1</v>
      </c>
      <c r="G171" s="13">
        <v>1</v>
      </c>
      <c r="L171" s="13" t="s">
        <v>30</v>
      </c>
      <c r="M171" s="13">
        <v>4</v>
      </c>
      <c r="N171" s="13">
        <v>1</v>
      </c>
      <c r="O171" s="13">
        <v>1</v>
      </c>
      <c r="P171" s="13" t="s">
        <v>31</v>
      </c>
      <c r="Q171" s="13">
        <v>3</v>
      </c>
      <c r="R171" s="13">
        <v>1</v>
      </c>
      <c r="S171" s="13">
        <v>1</v>
      </c>
      <c r="T171" s="13" t="s">
        <v>32</v>
      </c>
      <c r="U171" s="13" t="s">
        <v>108</v>
      </c>
      <c r="V171" s="13">
        <v>1</v>
      </c>
      <c r="W171" s="13">
        <v>1</v>
      </c>
      <c r="X171" s="13" t="s">
        <v>34</v>
      </c>
      <c r="Y171" s="13" t="s">
        <v>35</v>
      </c>
      <c r="Z171" s="13">
        <v>1</v>
      </c>
      <c r="AA171" s="13">
        <v>1</v>
      </c>
      <c r="AB171" s="13" t="s">
        <v>122</v>
      </c>
      <c r="AC171" s="13">
        <v>1</v>
      </c>
      <c r="AD171" s="13">
        <v>1</v>
      </c>
      <c r="AE171" s="13">
        <v>1</v>
      </c>
    </row>
    <row r="172" spans="1:45" s="13" customFormat="1" x14ac:dyDescent="0.25">
      <c r="A172" s="13" t="str">
        <f t="shared" si="10"/>
        <v xml:space="preserve">  شلنگ های مستقیم(صاف) قطر32 ضخامت 4 3لایه 1متری</v>
      </c>
      <c r="B172" s="13">
        <v>1</v>
      </c>
      <c r="C172" s="13" t="s">
        <v>134</v>
      </c>
      <c r="D172" s="13" t="s">
        <v>28</v>
      </c>
      <c r="E172" s="13">
        <v>32</v>
      </c>
      <c r="F172" s="13">
        <v>1</v>
      </c>
      <c r="G172" s="13">
        <v>1</v>
      </c>
      <c r="L172" s="13" t="s">
        <v>30</v>
      </c>
      <c r="M172" s="13">
        <v>4</v>
      </c>
      <c r="N172" s="13">
        <v>1</v>
      </c>
      <c r="O172" s="13">
        <v>1</v>
      </c>
      <c r="P172" s="13" t="s">
        <v>31</v>
      </c>
      <c r="Q172" s="13">
        <v>3</v>
      </c>
      <c r="R172" s="13">
        <v>1</v>
      </c>
      <c r="S172" s="13">
        <v>1</v>
      </c>
      <c r="T172" s="13" t="s">
        <v>32</v>
      </c>
      <c r="U172" s="13" t="s">
        <v>108</v>
      </c>
      <c r="V172" s="13">
        <v>1</v>
      </c>
      <c r="W172" s="13">
        <v>1</v>
      </c>
      <c r="X172" s="13" t="s">
        <v>34</v>
      </c>
      <c r="Y172" s="13" t="s">
        <v>35</v>
      </c>
      <c r="Z172" s="13">
        <v>1</v>
      </c>
      <c r="AA172" s="13">
        <v>1</v>
      </c>
      <c r="AB172" s="13" t="s">
        <v>122</v>
      </c>
      <c r="AC172" s="13">
        <v>1</v>
      </c>
      <c r="AD172" s="13">
        <v>1</v>
      </c>
      <c r="AE172" s="13">
        <v>1</v>
      </c>
    </row>
    <row r="173" spans="1:45" s="13" customFormat="1" x14ac:dyDescent="0.25">
      <c r="A173" s="13" t="str">
        <f t="shared" si="10"/>
        <v xml:space="preserve">  شلنگ های مستقیم(صاف) قطر35 ضخامت 4 3لایه 1متری</v>
      </c>
      <c r="B173" s="13">
        <v>1</v>
      </c>
      <c r="C173" s="13" t="s">
        <v>134</v>
      </c>
      <c r="D173" s="13" t="s">
        <v>28</v>
      </c>
      <c r="E173" s="13">
        <v>35</v>
      </c>
      <c r="F173" s="13">
        <v>1</v>
      </c>
      <c r="G173" s="13">
        <v>1</v>
      </c>
      <c r="L173" s="13" t="s">
        <v>30</v>
      </c>
      <c r="M173" s="13">
        <v>4</v>
      </c>
      <c r="N173" s="13">
        <v>1</v>
      </c>
      <c r="O173" s="13">
        <v>1</v>
      </c>
      <c r="P173" s="13" t="s">
        <v>31</v>
      </c>
      <c r="Q173" s="13">
        <v>3</v>
      </c>
      <c r="R173" s="13">
        <v>1</v>
      </c>
      <c r="S173" s="13">
        <v>1</v>
      </c>
      <c r="T173" s="13" t="s">
        <v>32</v>
      </c>
      <c r="U173" s="13" t="s">
        <v>108</v>
      </c>
      <c r="V173" s="13">
        <v>1</v>
      </c>
      <c r="W173" s="13">
        <v>1</v>
      </c>
      <c r="X173" s="13" t="s">
        <v>34</v>
      </c>
      <c r="Y173" s="13" t="s">
        <v>35</v>
      </c>
      <c r="Z173" s="13">
        <v>1</v>
      </c>
      <c r="AA173" s="13">
        <v>1</v>
      </c>
      <c r="AB173" s="13" t="s">
        <v>122</v>
      </c>
      <c r="AC173" s="13">
        <v>1</v>
      </c>
      <c r="AD173" s="13">
        <v>1</v>
      </c>
      <c r="AE173" s="13">
        <v>1</v>
      </c>
    </row>
    <row r="174" spans="1:45" s="13" customFormat="1" x14ac:dyDescent="0.25">
      <c r="A174" s="13" t="str">
        <f t="shared" si="10"/>
        <v xml:space="preserve">  شلنگ های مستقیم(صاف) قطر38 ضخامت 4 3لایه 1متری</v>
      </c>
      <c r="B174" s="13">
        <v>1</v>
      </c>
      <c r="C174" s="13" t="s">
        <v>134</v>
      </c>
      <c r="D174" s="13" t="s">
        <v>28</v>
      </c>
      <c r="E174" s="13">
        <v>38</v>
      </c>
      <c r="F174" s="13">
        <v>1</v>
      </c>
      <c r="G174" s="13">
        <v>1</v>
      </c>
      <c r="L174" s="13" t="s">
        <v>30</v>
      </c>
      <c r="M174" s="13">
        <v>4</v>
      </c>
      <c r="N174" s="13">
        <v>1</v>
      </c>
      <c r="O174" s="13">
        <v>1</v>
      </c>
      <c r="P174" s="13" t="s">
        <v>31</v>
      </c>
      <c r="Q174" s="13">
        <v>3</v>
      </c>
      <c r="R174" s="13">
        <v>1</v>
      </c>
      <c r="S174" s="13">
        <v>1</v>
      </c>
      <c r="T174" s="13" t="s">
        <v>32</v>
      </c>
      <c r="U174" s="13" t="s">
        <v>108</v>
      </c>
      <c r="V174" s="13">
        <v>1</v>
      </c>
      <c r="W174" s="13">
        <v>1</v>
      </c>
      <c r="X174" s="13" t="s">
        <v>34</v>
      </c>
      <c r="Y174" s="13" t="s">
        <v>35</v>
      </c>
      <c r="Z174" s="13">
        <v>1</v>
      </c>
      <c r="AA174" s="13">
        <v>1</v>
      </c>
      <c r="AB174" s="13" t="s">
        <v>122</v>
      </c>
      <c r="AC174" s="13">
        <v>1</v>
      </c>
      <c r="AD174" s="13">
        <v>1</v>
      </c>
      <c r="AE174" s="13">
        <v>1</v>
      </c>
    </row>
    <row r="175" spans="1:45" s="13" customFormat="1" x14ac:dyDescent="0.25">
      <c r="A175" s="13" t="str">
        <f t="shared" si="10"/>
        <v xml:space="preserve">  شلنگ های مستقیم(صاف) قطر41 ضخامت 4 3لایه 1متری</v>
      </c>
      <c r="B175" s="13">
        <v>1</v>
      </c>
      <c r="C175" s="13" t="s">
        <v>134</v>
      </c>
      <c r="D175" s="13" t="s">
        <v>28</v>
      </c>
      <c r="E175" s="13">
        <v>41</v>
      </c>
      <c r="F175" s="13">
        <v>1</v>
      </c>
      <c r="G175" s="13">
        <v>1</v>
      </c>
      <c r="L175" s="13" t="s">
        <v>30</v>
      </c>
      <c r="M175" s="13">
        <v>4</v>
      </c>
      <c r="N175" s="13">
        <v>1</v>
      </c>
      <c r="O175" s="13">
        <v>1</v>
      </c>
      <c r="P175" s="13" t="s">
        <v>31</v>
      </c>
      <c r="Q175" s="13">
        <v>3</v>
      </c>
      <c r="R175" s="13">
        <v>1</v>
      </c>
      <c r="S175" s="13">
        <v>1</v>
      </c>
      <c r="T175" s="13" t="s">
        <v>32</v>
      </c>
      <c r="U175" s="13" t="s">
        <v>108</v>
      </c>
      <c r="V175" s="13">
        <v>1</v>
      </c>
      <c r="W175" s="13">
        <v>1</v>
      </c>
      <c r="X175" s="13" t="s">
        <v>34</v>
      </c>
      <c r="Y175" s="13" t="s">
        <v>35</v>
      </c>
      <c r="Z175" s="13">
        <v>1</v>
      </c>
      <c r="AA175" s="13">
        <v>1</v>
      </c>
      <c r="AB175" s="13" t="s">
        <v>122</v>
      </c>
      <c r="AC175" s="13">
        <v>1</v>
      </c>
      <c r="AD175" s="13">
        <v>1</v>
      </c>
      <c r="AE175" s="13">
        <v>1</v>
      </c>
    </row>
    <row r="176" spans="1:45" s="13" customFormat="1" x14ac:dyDescent="0.25">
      <c r="A176" s="13" t="str">
        <f t="shared" si="10"/>
        <v xml:space="preserve">  شلنگ های مستقیم(صاف) قطر45 ضخامت 4 3لایه 1متری</v>
      </c>
      <c r="B176" s="13">
        <v>1</v>
      </c>
      <c r="C176" s="13" t="s">
        <v>134</v>
      </c>
      <c r="D176" s="13" t="s">
        <v>28</v>
      </c>
      <c r="E176" s="13">
        <v>45</v>
      </c>
      <c r="F176" s="13">
        <v>1</v>
      </c>
      <c r="G176" s="13">
        <v>1</v>
      </c>
      <c r="L176" s="13" t="s">
        <v>30</v>
      </c>
      <c r="M176" s="13">
        <v>4</v>
      </c>
      <c r="N176" s="13">
        <v>1</v>
      </c>
      <c r="O176" s="13">
        <v>1</v>
      </c>
      <c r="P176" s="13" t="s">
        <v>31</v>
      </c>
      <c r="Q176" s="13">
        <v>3</v>
      </c>
      <c r="R176" s="13">
        <v>1</v>
      </c>
      <c r="S176" s="13">
        <v>1</v>
      </c>
      <c r="T176" s="13" t="s">
        <v>32</v>
      </c>
      <c r="U176" s="13" t="s">
        <v>108</v>
      </c>
      <c r="V176" s="13">
        <v>1</v>
      </c>
      <c r="W176" s="13">
        <v>1</v>
      </c>
      <c r="X176" s="13" t="s">
        <v>34</v>
      </c>
      <c r="Y176" s="13" t="s">
        <v>35</v>
      </c>
      <c r="Z176" s="13">
        <v>1</v>
      </c>
      <c r="AA176" s="13">
        <v>1</v>
      </c>
      <c r="AB176" s="13" t="s">
        <v>122</v>
      </c>
      <c r="AC176" s="13">
        <v>1</v>
      </c>
      <c r="AD176" s="13">
        <v>1</v>
      </c>
      <c r="AE176" s="13">
        <v>1</v>
      </c>
    </row>
    <row r="177" spans="1:31" s="13" customFormat="1" x14ac:dyDescent="0.25">
      <c r="A177" s="13" t="str">
        <f t="shared" si="10"/>
        <v xml:space="preserve">  شلنگ های مستقیم(صاف) قطر51 ضخامت 5 4لایه 1متری</v>
      </c>
      <c r="B177" s="13">
        <v>1</v>
      </c>
      <c r="C177" s="13" t="s">
        <v>134</v>
      </c>
      <c r="D177" s="13" t="s">
        <v>28</v>
      </c>
      <c r="E177" s="13">
        <v>51</v>
      </c>
      <c r="F177" s="13">
        <v>1</v>
      </c>
      <c r="G177" s="13">
        <v>1</v>
      </c>
      <c r="L177" s="13" t="s">
        <v>30</v>
      </c>
      <c r="M177" s="13">
        <v>5</v>
      </c>
      <c r="N177" s="13">
        <v>1</v>
      </c>
      <c r="O177" s="13">
        <v>1</v>
      </c>
      <c r="P177" s="13" t="s">
        <v>31</v>
      </c>
      <c r="Q177" s="13">
        <v>4</v>
      </c>
      <c r="R177" s="13">
        <v>1</v>
      </c>
      <c r="S177" s="13">
        <v>1</v>
      </c>
      <c r="T177" s="13" t="s">
        <v>32</v>
      </c>
      <c r="U177" s="13" t="s">
        <v>108</v>
      </c>
      <c r="V177" s="13">
        <v>1</v>
      </c>
      <c r="W177" s="13">
        <v>1</v>
      </c>
      <c r="X177" s="13" t="s">
        <v>34</v>
      </c>
      <c r="Y177" s="13" t="s">
        <v>35</v>
      </c>
      <c r="Z177" s="13">
        <v>1</v>
      </c>
      <c r="AA177" s="13">
        <v>1</v>
      </c>
      <c r="AB177" s="13" t="s">
        <v>122</v>
      </c>
      <c r="AC177" s="13">
        <v>1</v>
      </c>
      <c r="AD177" s="13">
        <v>1</v>
      </c>
      <c r="AE177" s="13">
        <v>1</v>
      </c>
    </row>
    <row r="178" spans="1:31" s="13" customFormat="1" x14ac:dyDescent="0.25">
      <c r="A178" s="13" t="str">
        <f t="shared" si="10"/>
        <v xml:space="preserve">  شلنگ های مستقیم(صاف) قطر54 ضخامت 5 4لایه 1متری</v>
      </c>
      <c r="B178" s="13">
        <v>1</v>
      </c>
      <c r="C178" s="13" t="s">
        <v>134</v>
      </c>
      <c r="D178" s="13" t="s">
        <v>28</v>
      </c>
      <c r="E178" s="13">
        <v>54</v>
      </c>
      <c r="F178" s="13">
        <v>1</v>
      </c>
      <c r="G178" s="13">
        <v>1</v>
      </c>
      <c r="L178" s="13" t="s">
        <v>30</v>
      </c>
      <c r="M178" s="13">
        <v>5</v>
      </c>
      <c r="N178" s="13">
        <v>1</v>
      </c>
      <c r="O178" s="13">
        <v>1</v>
      </c>
      <c r="P178" s="13" t="s">
        <v>31</v>
      </c>
      <c r="Q178" s="13">
        <v>4</v>
      </c>
      <c r="R178" s="13">
        <v>1</v>
      </c>
      <c r="S178" s="13">
        <v>1</v>
      </c>
      <c r="T178" s="13" t="s">
        <v>32</v>
      </c>
      <c r="U178" s="13" t="s">
        <v>108</v>
      </c>
      <c r="V178" s="13">
        <v>1</v>
      </c>
      <c r="W178" s="13">
        <v>1</v>
      </c>
      <c r="X178" s="13" t="s">
        <v>34</v>
      </c>
      <c r="Y178" s="13" t="s">
        <v>35</v>
      </c>
      <c r="Z178" s="13">
        <v>1</v>
      </c>
      <c r="AA178" s="13">
        <v>1</v>
      </c>
      <c r="AB178" s="13" t="s">
        <v>122</v>
      </c>
      <c r="AC178" s="13">
        <v>1</v>
      </c>
      <c r="AD178" s="13">
        <v>1</v>
      </c>
      <c r="AE178" s="13">
        <v>1</v>
      </c>
    </row>
    <row r="179" spans="1:31" s="13" customFormat="1" x14ac:dyDescent="0.25">
      <c r="A179" s="13" t="str">
        <f t="shared" si="10"/>
        <v xml:space="preserve">  شلنگ های مستقیم(صاف) قطر57 ضخامت 5 4لایه 1متری</v>
      </c>
      <c r="B179" s="13">
        <v>1</v>
      </c>
      <c r="C179" s="13" t="s">
        <v>134</v>
      </c>
      <c r="D179" s="13" t="s">
        <v>28</v>
      </c>
      <c r="E179" s="13">
        <v>57</v>
      </c>
      <c r="F179" s="13">
        <v>1</v>
      </c>
      <c r="G179" s="13">
        <v>1</v>
      </c>
      <c r="L179" s="13" t="s">
        <v>30</v>
      </c>
      <c r="M179" s="13">
        <v>5</v>
      </c>
      <c r="N179" s="13">
        <v>1</v>
      </c>
      <c r="O179" s="13">
        <v>1</v>
      </c>
      <c r="P179" s="13" t="s">
        <v>31</v>
      </c>
      <c r="Q179" s="13">
        <v>4</v>
      </c>
      <c r="R179" s="13">
        <v>1</v>
      </c>
      <c r="S179" s="13">
        <v>1</v>
      </c>
      <c r="T179" s="13" t="s">
        <v>32</v>
      </c>
      <c r="U179" s="13" t="s">
        <v>108</v>
      </c>
      <c r="V179" s="13">
        <v>1</v>
      </c>
      <c r="W179" s="13">
        <v>1</v>
      </c>
      <c r="X179" s="13" t="s">
        <v>34</v>
      </c>
      <c r="Y179" s="13" t="s">
        <v>35</v>
      </c>
      <c r="Z179" s="13">
        <v>1</v>
      </c>
      <c r="AA179" s="13">
        <v>1</v>
      </c>
      <c r="AB179" s="13" t="s">
        <v>122</v>
      </c>
      <c r="AC179" s="13">
        <v>1</v>
      </c>
      <c r="AD179" s="13">
        <v>1</v>
      </c>
      <c r="AE179" s="13">
        <v>1</v>
      </c>
    </row>
    <row r="180" spans="1:31" s="13" customFormat="1" x14ac:dyDescent="0.25">
      <c r="A180" s="13" t="str">
        <f t="shared" si="10"/>
        <v xml:space="preserve">  شلنگ های مستقیم(صاف) قطر60 ضخامت 5 4لایه 1متری</v>
      </c>
      <c r="B180" s="13">
        <v>1</v>
      </c>
      <c r="C180" s="13" t="s">
        <v>134</v>
      </c>
      <c r="D180" s="13" t="s">
        <v>28</v>
      </c>
      <c r="E180" s="13">
        <v>60</v>
      </c>
      <c r="F180" s="13">
        <v>1</v>
      </c>
      <c r="G180" s="13">
        <v>1</v>
      </c>
      <c r="L180" s="13" t="s">
        <v>30</v>
      </c>
      <c r="M180" s="13">
        <v>5</v>
      </c>
      <c r="N180" s="13">
        <v>1</v>
      </c>
      <c r="O180" s="13">
        <v>1</v>
      </c>
      <c r="P180" s="13" t="s">
        <v>31</v>
      </c>
      <c r="Q180" s="13">
        <v>4</v>
      </c>
      <c r="R180" s="13">
        <v>1</v>
      </c>
      <c r="S180" s="13">
        <v>1</v>
      </c>
      <c r="T180" s="13" t="s">
        <v>32</v>
      </c>
      <c r="U180" s="13" t="s">
        <v>108</v>
      </c>
      <c r="V180" s="13">
        <v>1</v>
      </c>
      <c r="W180" s="13">
        <v>1</v>
      </c>
      <c r="X180" s="13" t="s">
        <v>34</v>
      </c>
      <c r="Y180" s="13" t="s">
        <v>35</v>
      </c>
      <c r="Z180" s="13">
        <v>1</v>
      </c>
      <c r="AA180" s="13">
        <v>1</v>
      </c>
      <c r="AB180" s="13" t="s">
        <v>122</v>
      </c>
      <c r="AC180" s="13">
        <v>1</v>
      </c>
      <c r="AD180" s="13">
        <v>1</v>
      </c>
      <c r="AE180" s="13">
        <v>1</v>
      </c>
    </row>
    <row r="181" spans="1:31" s="13" customFormat="1" x14ac:dyDescent="0.25">
      <c r="A181" s="13" t="str">
        <f t="shared" si="10"/>
        <v xml:space="preserve">  شلنگ های مستقیم(صاف) قطر63 ضخامت 5 4لایه 1متری</v>
      </c>
      <c r="B181" s="13">
        <v>1</v>
      </c>
      <c r="C181" s="13" t="s">
        <v>134</v>
      </c>
      <c r="D181" s="13" t="s">
        <v>28</v>
      </c>
      <c r="E181" s="13">
        <v>63</v>
      </c>
      <c r="F181" s="13">
        <v>1</v>
      </c>
      <c r="G181" s="13">
        <v>1</v>
      </c>
      <c r="L181" s="13" t="s">
        <v>30</v>
      </c>
      <c r="M181" s="13">
        <v>5</v>
      </c>
      <c r="N181" s="13">
        <v>1</v>
      </c>
      <c r="O181" s="13">
        <v>1</v>
      </c>
      <c r="P181" s="13" t="s">
        <v>31</v>
      </c>
      <c r="Q181" s="13">
        <v>4</v>
      </c>
      <c r="R181" s="13">
        <v>1</v>
      </c>
      <c r="S181" s="13">
        <v>1</v>
      </c>
      <c r="T181" s="13" t="s">
        <v>32</v>
      </c>
      <c r="U181" s="13" t="s">
        <v>108</v>
      </c>
      <c r="V181" s="13">
        <v>1</v>
      </c>
      <c r="W181" s="13">
        <v>1</v>
      </c>
      <c r="X181" s="13" t="s">
        <v>34</v>
      </c>
      <c r="Y181" s="13" t="s">
        <v>35</v>
      </c>
      <c r="Z181" s="13">
        <v>1</v>
      </c>
      <c r="AA181" s="13">
        <v>1</v>
      </c>
      <c r="AB181" s="13" t="s">
        <v>122</v>
      </c>
      <c r="AC181" s="13">
        <v>1</v>
      </c>
      <c r="AD181" s="13">
        <v>1</v>
      </c>
      <c r="AE181" s="13">
        <v>1</v>
      </c>
    </row>
    <row r="182" spans="1:31" s="13" customFormat="1" x14ac:dyDescent="0.25">
      <c r="A182" s="13" t="str">
        <f t="shared" si="10"/>
        <v xml:space="preserve">  شلنگ های مستقیم(صاف) قطر65 ضخامت 5 4لایه 1متری</v>
      </c>
      <c r="B182" s="13">
        <v>1</v>
      </c>
      <c r="C182" s="13" t="s">
        <v>134</v>
      </c>
      <c r="D182" s="13" t="s">
        <v>28</v>
      </c>
      <c r="E182" s="13">
        <v>65</v>
      </c>
      <c r="F182" s="13">
        <v>1</v>
      </c>
      <c r="G182" s="13">
        <v>1</v>
      </c>
      <c r="L182" s="13" t="s">
        <v>30</v>
      </c>
      <c r="M182" s="13">
        <v>5</v>
      </c>
      <c r="N182" s="13">
        <v>1</v>
      </c>
      <c r="O182" s="13">
        <v>1</v>
      </c>
      <c r="P182" s="13" t="s">
        <v>31</v>
      </c>
      <c r="Q182" s="13">
        <v>4</v>
      </c>
      <c r="R182" s="13">
        <v>1</v>
      </c>
      <c r="S182" s="13">
        <v>1</v>
      </c>
      <c r="T182" s="13" t="s">
        <v>32</v>
      </c>
      <c r="U182" s="13" t="s">
        <v>108</v>
      </c>
      <c r="V182" s="13">
        <v>1</v>
      </c>
      <c r="W182" s="13">
        <v>1</v>
      </c>
      <c r="X182" s="13" t="s">
        <v>34</v>
      </c>
      <c r="Y182" s="13" t="s">
        <v>35</v>
      </c>
      <c r="Z182" s="13">
        <v>1</v>
      </c>
      <c r="AA182" s="13">
        <v>1</v>
      </c>
      <c r="AB182" s="13" t="s">
        <v>122</v>
      </c>
      <c r="AC182" s="13">
        <v>1</v>
      </c>
      <c r="AD182" s="13">
        <v>1</v>
      </c>
      <c r="AE182" s="13">
        <v>1</v>
      </c>
    </row>
    <row r="183" spans="1:31" s="13" customFormat="1" x14ac:dyDescent="0.25">
      <c r="A183" s="13" t="str">
        <f t="shared" si="10"/>
        <v xml:space="preserve">  شلنگ های مستقیم(صاف) قطر70 ضخامت 5 4لایه 1متری</v>
      </c>
      <c r="B183" s="13">
        <v>1</v>
      </c>
      <c r="C183" s="13" t="s">
        <v>134</v>
      </c>
      <c r="D183" s="13" t="s">
        <v>28</v>
      </c>
      <c r="E183" s="13">
        <v>70</v>
      </c>
      <c r="F183" s="13">
        <v>1</v>
      </c>
      <c r="G183" s="13">
        <v>1</v>
      </c>
      <c r="L183" s="13" t="s">
        <v>30</v>
      </c>
      <c r="M183" s="13">
        <v>5</v>
      </c>
      <c r="N183" s="13">
        <v>1</v>
      </c>
      <c r="O183" s="13">
        <v>1</v>
      </c>
      <c r="P183" s="13" t="s">
        <v>31</v>
      </c>
      <c r="Q183" s="13">
        <v>4</v>
      </c>
      <c r="R183" s="13">
        <v>1</v>
      </c>
      <c r="S183" s="13">
        <v>1</v>
      </c>
      <c r="T183" s="13" t="s">
        <v>32</v>
      </c>
      <c r="U183" s="13" t="s">
        <v>108</v>
      </c>
      <c r="V183" s="13">
        <v>1</v>
      </c>
      <c r="W183" s="13">
        <v>1</v>
      </c>
      <c r="X183" s="13" t="s">
        <v>34</v>
      </c>
      <c r="Y183" s="13" t="s">
        <v>35</v>
      </c>
      <c r="Z183" s="13">
        <v>1</v>
      </c>
      <c r="AA183" s="13">
        <v>1</v>
      </c>
      <c r="AB183" s="13" t="s">
        <v>122</v>
      </c>
      <c r="AC183" s="13">
        <v>1</v>
      </c>
      <c r="AD183" s="13">
        <v>1</v>
      </c>
      <c r="AE183" s="13">
        <v>1</v>
      </c>
    </row>
    <row r="184" spans="1:31" s="13" customFormat="1" x14ac:dyDescent="0.25">
      <c r="A184" s="13" t="str">
        <f t="shared" si="10"/>
        <v xml:space="preserve">  شلنگ های مستقیم(صاف) قطر76 ضخامت 5 4لایه 1متری</v>
      </c>
      <c r="B184" s="13">
        <v>1</v>
      </c>
      <c r="C184" s="13" t="s">
        <v>134</v>
      </c>
      <c r="D184" s="13" t="s">
        <v>28</v>
      </c>
      <c r="E184" s="13">
        <v>76</v>
      </c>
      <c r="F184" s="13">
        <v>1</v>
      </c>
      <c r="G184" s="13">
        <v>1</v>
      </c>
      <c r="L184" s="13" t="s">
        <v>30</v>
      </c>
      <c r="M184" s="13">
        <v>5</v>
      </c>
      <c r="N184" s="13">
        <v>1</v>
      </c>
      <c r="O184" s="13">
        <v>1</v>
      </c>
      <c r="P184" s="13" t="s">
        <v>31</v>
      </c>
      <c r="Q184" s="13">
        <v>4</v>
      </c>
      <c r="R184" s="13">
        <v>1</v>
      </c>
      <c r="S184" s="13">
        <v>1</v>
      </c>
      <c r="T184" s="13" t="s">
        <v>32</v>
      </c>
      <c r="U184" s="13" t="s">
        <v>108</v>
      </c>
      <c r="V184" s="13">
        <v>1</v>
      </c>
      <c r="W184" s="13">
        <v>1</v>
      </c>
      <c r="X184" s="13" t="s">
        <v>34</v>
      </c>
      <c r="Y184" s="13" t="s">
        <v>35</v>
      </c>
      <c r="Z184" s="13">
        <v>1</v>
      </c>
      <c r="AA184" s="13">
        <v>1</v>
      </c>
      <c r="AB184" s="13" t="s">
        <v>122</v>
      </c>
      <c r="AC184" s="13">
        <v>1</v>
      </c>
      <c r="AD184" s="13">
        <v>1</v>
      </c>
      <c r="AE184" s="13">
        <v>1</v>
      </c>
    </row>
    <row r="185" spans="1:31" s="13" customFormat="1" x14ac:dyDescent="0.25">
      <c r="A185" s="13" t="str">
        <f t="shared" si="10"/>
        <v xml:space="preserve">  شلنگ های مستقیم(صاف) قطر80 ضخامت 5 4لایه 1متری</v>
      </c>
      <c r="B185" s="13">
        <v>1</v>
      </c>
      <c r="C185" s="13" t="s">
        <v>134</v>
      </c>
      <c r="D185" s="13" t="s">
        <v>28</v>
      </c>
      <c r="E185" s="13">
        <v>80</v>
      </c>
      <c r="F185" s="13">
        <v>1</v>
      </c>
      <c r="G185" s="13">
        <v>1</v>
      </c>
      <c r="L185" s="13" t="s">
        <v>30</v>
      </c>
      <c r="M185" s="13">
        <v>5</v>
      </c>
      <c r="N185" s="13">
        <v>1</v>
      </c>
      <c r="O185" s="13">
        <v>1</v>
      </c>
      <c r="P185" s="13" t="s">
        <v>31</v>
      </c>
      <c r="Q185" s="13">
        <v>4</v>
      </c>
      <c r="R185" s="13">
        <v>1</v>
      </c>
      <c r="S185" s="13">
        <v>1</v>
      </c>
      <c r="T185" s="13" t="s">
        <v>32</v>
      </c>
      <c r="U185" s="13" t="s">
        <v>108</v>
      </c>
      <c r="V185" s="13">
        <v>1</v>
      </c>
      <c r="W185" s="13">
        <v>1</v>
      </c>
      <c r="X185" s="13" t="s">
        <v>34</v>
      </c>
      <c r="Y185" s="13" t="s">
        <v>35</v>
      </c>
      <c r="Z185" s="13">
        <v>1</v>
      </c>
      <c r="AA185" s="13">
        <v>1</v>
      </c>
      <c r="AB185" s="13" t="s">
        <v>122</v>
      </c>
      <c r="AC185" s="13">
        <v>1</v>
      </c>
      <c r="AD185" s="13">
        <v>1</v>
      </c>
      <c r="AE185" s="13">
        <v>1</v>
      </c>
    </row>
    <row r="186" spans="1:31" s="13" customFormat="1" x14ac:dyDescent="0.25">
      <c r="A186" s="13" t="str">
        <f t="shared" si="10"/>
        <v xml:space="preserve">  شلنگ های مستقیم(صاف) قطر89 ضخامت 6 5لایه 1متری</v>
      </c>
      <c r="B186" s="13">
        <v>1</v>
      </c>
      <c r="C186" s="13" t="s">
        <v>134</v>
      </c>
      <c r="D186" s="13" t="s">
        <v>28</v>
      </c>
      <c r="E186" s="13">
        <v>89</v>
      </c>
      <c r="F186" s="13">
        <v>1</v>
      </c>
      <c r="G186" s="13">
        <v>1</v>
      </c>
      <c r="L186" s="13" t="s">
        <v>30</v>
      </c>
      <c r="M186" s="13">
        <v>6</v>
      </c>
      <c r="N186" s="13">
        <v>1</v>
      </c>
      <c r="O186" s="13">
        <v>1</v>
      </c>
      <c r="P186" s="13" t="s">
        <v>31</v>
      </c>
      <c r="Q186" s="13">
        <v>5</v>
      </c>
      <c r="R186" s="13">
        <v>1</v>
      </c>
      <c r="S186" s="13">
        <v>1</v>
      </c>
      <c r="T186" s="13" t="s">
        <v>32</v>
      </c>
      <c r="U186" s="13" t="s">
        <v>108</v>
      </c>
      <c r="V186" s="13">
        <v>1</v>
      </c>
      <c r="W186" s="13">
        <v>1</v>
      </c>
      <c r="X186" s="13" t="s">
        <v>34</v>
      </c>
      <c r="Y186" s="13" t="s">
        <v>35</v>
      </c>
      <c r="Z186" s="13">
        <v>1</v>
      </c>
      <c r="AA186" s="13">
        <v>1</v>
      </c>
      <c r="AB186" s="13" t="s">
        <v>122</v>
      </c>
      <c r="AC186" s="13">
        <v>1</v>
      </c>
      <c r="AD186" s="13">
        <v>1</v>
      </c>
      <c r="AE186" s="13">
        <v>1</v>
      </c>
    </row>
    <row r="187" spans="1:31" s="13" customFormat="1" x14ac:dyDescent="0.25">
      <c r="A187" s="13" t="str">
        <f t="shared" si="10"/>
        <v xml:space="preserve">  شلنگ های مستقیم(صاف) قطر102 ضخامت 7 6لایه 1متری</v>
      </c>
      <c r="B187" s="13">
        <v>1</v>
      </c>
      <c r="C187" s="13" t="s">
        <v>134</v>
      </c>
      <c r="D187" s="13" t="s">
        <v>28</v>
      </c>
      <c r="E187" s="13">
        <v>102</v>
      </c>
      <c r="F187" s="13">
        <v>1</v>
      </c>
      <c r="G187" s="13">
        <v>1</v>
      </c>
      <c r="L187" s="13" t="s">
        <v>30</v>
      </c>
      <c r="M187" s="13">
        <v>7</v>
      </c>
      <c r="N187" s="13">
        <v>1</v>
      </c>
      <c r="O187" s="13">
        <v>1</v>
      </c>
      <c r="P187" s="13" t="s">
        <v>31</v>
      </c>
      <c r="Q187" s="13">
        <v>6</v>
      </c>
      <c r="R187" s="13">
        <v>1</v>
      </c>
      <c r="S187" s="13">
        <v>1</v>
      </c>
      <c r="T187" s="13" t="s">
        <v>32</v>
      </c>
      <c r="U187" s="13" t="s">
        <v>108</v>
      </c>
      <c r="V187" s="13">
        <v>1</v>
      </c>
      <c r="W187" s="13">
        <v>1</v>
      </c>
      <c r="X187" s="13" t="s">
        <v>34</v>
      </c>
      <c r="Y187" s="13" t="s">
        <v>35</v>
      </c>
      <c r="Z187" s="13">
        <v>1</v>
      </c>
      <c r="AA187" s="13">
        <v>1</v>
      </c>
      <c r="AB187" s="13" t="s">
        <v>122</v>
      </c>
      <c r="AC187" s="13">
        <v>1</v>
      </c>
      <c r="AD187" s="13">
        <v>1</v>
      </c>
      <c r="AE187" s="13">
        <v>1</v>
      </c>
    </row>
    <row r="188" spans="1:31" s="13" customFormat="1" x14ac:dyDescent="0.25">
      <c r="A188" s="13" t="str">
        <f t="shared" si="10"/>
        <v xml:space="preserve">  شلنگ های مستقیم(صاف) قطر114 ضخامت 7 6لایه 1متری</v>
      </c>
      <c r="B188" s="13">
        <v>1</v>
      </c>
      <c r="C188" s="13" t="s">
        <v>134</v>
      </c>
      <c r="D188" s="13" t="s">
        <v>28</v>
      </c>
      <c r="E188" s="13">
        <v>114</v>
      </c>
      <c r="F188" s="13">
        <v>1</v>
      </c>
      <c r="G188" s="13">
        <v>1</v>
      </c>
      <c r="L188" s="13" t="s">
        <v>30</v>
      </c>
      <c r="M188" s="13">
        <v>7</v>
      </c>
      <c r="N188" s="13">
        <v>1</v>
      </c>
      <c r="O188" s="13">
        <v>1</v>
      </c>
      <c r="P188" s="13" t="s">
        <v>31</v>
      </c>
      <c r="Q188" s="13">
        <v>6</v>
      </c>
      <c r="R188" s="13">
        <v>1</v>
      </c>
      <c r="S188" s="13">
        <v>1</v>
      </c>
      <c r="T188" s="13" t="s">
        <v>32</v>
      </c>
      <c r="U188" s="13" t="s">
        <v>108</v>
      </c>
      <c r="V188" s="13">
        <v>1</v>
      </c>
      <c r="W188" s="13">
        <v>1</v>
      </c>
      <c r="X188" s="13" t="s">
        <v>34</v>
      </c>
      <c r="Y188" s="13" t="s">
        <v>35</v>
      </c>
      <c r="Z188" s="13">
        <v>1</v>
      </c>
      <c r="AA188" s="13">
        <v>1</v>
      </c>
      <c r="AB188" s="13" t="s">
        <v>122</v>
      </c>
      <c r="AC188" s="13">
        <v>1</v>
      </c>
      <c r="AD188" s="13">
        <v>1</v>
      </c>
      <c r="AE188" s="13">
        <v>1</v>
      </c>
    </row>
    <row r="189" spans="1:31" s="13" customFormat="1" x14ac:dyDescent="0.25">
      <c r="A189" s="13" t="str">
        <f t="shared" si="10"/>
        <v xml:space="preserve">  شلنگ های مستقیم(صاف) قطر125 ضخامت 8 7لایه 1متری</v>
      </c>
      <c r="B189" s="13">
        <v>1</v>
      </c>
      <c r="C189" s="13" t="s">
        <v>134</v>
      </c>
      <c r="D189" s="13" t="s">
        <v>28</v>
      </c>
      <c r="E189" s="13">
        <v>125</v>
      </c>
      <c r="F189" s="13">
        <v>1</v>
      </c>
      <c r="G189" s="13">
        <v>1</v>
      </c>
      <c r="L189" s="13" t="s">
        <v>30</v>
      </c>
      <c r="M189" s="13">
        <v>8</v>
      </c>
      <c r="N189" s="13">
        <v>1</v>
      </c>
      <c r="O189" s="13">
        <v>1</v>
      </c>
      <c r="P189" s="13" t="s">
        <v>31</v>
      </c>
      <c r="Q189" s="13">
        <v>7</v>
      </c>
      <c r="R189" s="13">
        <v>1</v>
      </c>
      <c r="S189" s="13">
        <v>1</v>
      </c>
      <c r="T189" s="13" t="s">
        <v>32</v>
      </c>
      <c r="U189" s="13" t="s">
        <v>108</v>
      </c>
      <c r="V189" s="13">
        <v>1</v>
      </c>
      <c r="W189" s="13">
        <v>1</v>
      </c>
      <c r="X189" s="13" t="s">
        <v>34</v>
      </c>
      <c r="Y189" s="13" t="s">
        <v>35</v>
      </c>
      <c r="Z189" s="13">
        <v>1</v>
      </c>
      <c r="AA189" s="13">
        <v>1</v>
      </c>
      <c r="AB189" s="13" t="s">
        <v>122</v>
      </c>
      <c r="AC189" s="13">
        <v>1</v>
      </c>
      <c r="AD189" s="13">
        <v>1</v>
      </c>
      <c r="AE189" s="13">
        <v>1</v>
      </c>
    </row>
    <row r="190" spans="1:31" s="13" customFormat="1" x14ac:dyDescent="0.25">
      <c r="A190" s="13" t="str">
        <f t="shared" si="10"/>
        <v xml:space="preserve">  شلنگ های مستقیم(صاف) قطر130 ضخامت 8 7لایه 1متری</v>
      </c>
      <c r="B190" s="13">
        <v>1</v>
      </c>
      <c r="C190" s="13" t="s">
        <v>134</v>
      </c>
      <c r="D190" s="13" t="s">
        <v>28</v>
      </c>
      <c r="E190" s="13">
        <v>130</v>
      </c>
      <c r="F190" s="13">
        <v>1</v>
      </c>
      <c r="G190" s="13">
        <v>1</v>
      </c>
      <c r="L190" s="13" t="s">
        <v>30</v>
      </c>
      <c r="M190" s="13">
        <v>8</v>
      </c>
      <c r="N190" s="13">
        <v>1</v>
      </c>
      <c r="O190" s="13">
        <v>1</v>
      </c>
      <c r="P190" s="13" t="s">
        <v>31</v>
      </c>
      <c r="Q190" s="13">
        <v>7</v>
      </c>
      <c r="R190" s="13">
        <v>1</v>
      </c>
      <c r="S190" s="13">
        <v>1</v>
      </c>
      <c r="T190" s="13" t="s">
        <v>32</v>
      </c>
      <c r="U190" s="13" t="s">
        <v>108</v>
      </c>
      <c r="V190" s="13">
        <v>1</v>
      </c>
      <c r="W190" s="13">
        <v>1</v>
      </c>
      <c r="X190" s="13" t="s">
        <v>34</v>
      </c>
      <c r="Y190" s="13" t="s">
        <v>35</v>
      </c>
      <c r="Z190" s="13">
        <v>1</v>
      </c>
      <c r="AA190" s="13">
        <v>1</v>
      </c>
      <c r="AB190" s="13" t="s">
        <v>122</v>
      </c>
      <c r="AC190" s="13">
        <v>1</v>
      </c>
      <c r="AD190" s="13">
        <v>1</v>
      </c>
      <c r="AE190" s="13">
        <v>1</v>
      </c>
    </row>
    <row r="191" spans="1:31" s="13" customFormat="1" x14ac:dyDescent="0.25">
      <c r="A191" s="13" t="str">
        <f t="shared" si="10"/>
        <v xml:space="preserve">  شلنگ های مستقیم(صاف) قطر140 ضخامت 8 7لایه 1متری</v>
      </c>
      <c r="B191" s="13">
        <v>1</v>
      </c>
      <c r="C191" s="13" t="s">
        <v>134</v>
      </c>
      <c r="D191" s="13" t="s">
        <v>28</v>
      </c>
      <c r="E191" s="13">
        <v>140</v>
      </c>
      <c r="F191" s="13">
        <v>1</v>
      </c>
      <c r="G191" s="13">
        <v>1</v>
      </c>
      <c r="L191" s="13" t="s">
        <v>30</v>
      </c>
      <c r="M191" s="13">
        <v>8</v>
      </c>
      <c r="N191" s="13">
        <v>1</v>
      </c>
      <c r="O191" s="13">
        <v>1</v>
      </c>
      <c r="P191" s="13" t="s">
        <v>31</v>
      </c>
      <c r="Q191" s="13">
        <v>7</v>
      </c>
      <c r="R191" s="13">
        <v>1</v>
      </c>
      <c r="S191" s="13">
        <v>1</v>
      </c>
      <c r="T191" s="13" t="s">
        <v>32</v>
      </c>
      <c r="U191" s="13" t="s">
        <v>108</v>
      </c>
      <c r="V191" s="13">
        <v>1</v>
      </c>
      <c r="W191" s="13">
        <v>1</v>
      </c>
      <c r="X191" s="13" t="s">
        <v>34</v>
      </c>
      <c r="Y191" s="13" t="s">
        <v>35</v>
      </c>
      <c r="Z191" s="13">
        <v>1</v>
      </c>
      <c r="AA191" s="13">
        <v>1</v>
      </c>
      <c r="AB191" s="13" t="s">
        <v>122</v>
      </c>
      <c r="AC191" s="13">
        <v>1</v>
      </c>
      <c r="AD191" s="13">
        <v>1</v>
      </c>
      <c r="AE191" s="13">
        <v>1</v>
      </c>
    </row>
    <row r="192" spans="1:31" s="13" customFormat="1" x14ac:dyDescent="0.25">
      <c r="A192" s="13" t="str">
        <f t="shared" si="10"/>
        <v xml:space="preserve">  شلنگ های مستقیم(صاف) قطر150 ضخامت 8 7لایه 1متری</v>
      </c>
      <c r="B192" s="13">
        <v>1</v>
      </c>
      <c r="C192" s="13" t="s">
        <v>134</v>
      </c>
      <c r="D192" s="13" t="s">
        <v>28</v>
      </c>
      <c r="E192" s="13">
        <v>150</v>
      </c>
      <c r="F192" s="13">
        <v>1</v>
      </c>
      <c r="G192" s="13">
        <v>1</v>
      </c>
      <c r="L192" s="13" t="s">
        <v>30</v>
      </c>
      <c r="M192" s="13">
        <v>8</v>
      </c>
      <c r="N192" s="13">
        <v>1</v>
      </c>
      <c r="O192" s="13">
        <v>1</v>
      </c>
      <c r="P192" s="13" t="s">
        <v>31</v>
      </c>
      <c r="Q192" s="13">
        <v>7</v>
      </c>
      <c r="R192" s="13">
        <v>1</v>
      </c>
      <c r="S192" s="13">
        <v>1</v>
      </c>
      <c r="T192" s="13" t="s">
        <v>32</v>
      </c>
      <c r="U192" s="13" t="s">
        <v>108</v>
      </c>
      <c r="V192" s="13">
        <v>1</v>
      </c>
      <c r="W192" s="13">
        <v>1</v>
      </c>
      <c r="X192" s="13" t="s">
        <v>34</v>
      </c>
      <c r="Y192" s="13" t="s">
        <v>35</v>
      </c>
      <c r="Z192" s="13">
        <v>1</v>
      </c>
      <c r="AA192" s="13">
        <v>1</v>
      </c>
      <c r="AB192" s="13" t="s">
        <v>122</v>
      </c>
      <c r="AC192" s="13">
        <v>1</v>
      </c>
      <c r="AD192" s="13">
        <v>1</v>
      </c>
      <c r="AE192" s="13">
        <v>1</v>
      </c>
    </row>
    <row r="193" spans="1:31" s="9" customFormat="1" x14ac:dyDescent="0.25">
      <c r="A193" s="9" t="str">
        <f>"شلنگ های لاستیک ضد روغن"&amp;" " &amp;"قطر"&amp; E193 &amp;" "&amp; "ضخامت "&amp; M193 &amp;" "&amp;Q193 &amp; "لایه"&amp;" "&amp; AC193 &amp;"سانتی متر"</f>
        <v>شلنگ های لاستیک ضد روغن قطر28 ضخامت 6 2لایه 90سانتی متر</v>
      </c>
      <c r="B193" s="9">
        <v>1</v>
      </c>
      <c r="C193" s="9" t="s">
        <v>135</v>
      </c>
      <c r="D193" s="9" t="s">
        <v>28</v>
      </c>
      <c r="E193" s="9">
        <v>28</v>
      </c>
      <c r="F193" s="9">
        <v>1</v>
      </c>
      <c r="G193" s="9">
        <v>1</v>
      </c>
      <c r="L193" s="9" t="s">
        <v>30</v>
      </c>
      <c r="M193" s="9">
        <v>6</v>
      </c>
      <c r="N193" s="9">
        <v>1</v>
      </c>
      <c r="O193" s="9">
        <v>1</v>
      </c>
      <c r="P193" s="9" t="s">
        <v>31</v>
      </c>
      <c r="Q193" s="9">
        <v>2</v>
      </c>
      <c r="R193" s="9">
        <v>1</v>
      </c>
      <c r="S193" s="9">
        <v>1</v>
      </c>
      <c r="T193" s="9" t="s">
        <v>32</v>
      </c>
      <c r="U193" s="15" t="s">
        <v>136</v>
      </c>
      <c r="V193" s="9">
        <v>1</v>
      </c>
      <c r="W193" s="9">
        <v>1</v>
      </c>
      <c r="AB193" s="9" t="s">
        <v>137</v>
      </c>
      <c r="AC193" s="9">
        <v>90</v>
      </c>
      <c r="AD193" s="9">
        <v>1</v>
      </c>
      <c r="AE193" s="9">
        <v>1</v>
      </c>
    </row>
    <row r="194" spans="1:31" s="9" customFormat="1" x14ac:dyDescent="0.25">
      <c r="A194" s="9" t="str">
        <f t="shared" ref="A194:A210" si="11">"شلنگ های لاستیک ضد روغن"&amp;" " &amp;"قطر"&amp; E194 &amp;" "&amp; "ضخامت "&amp; M194 &amp;" "&amp;Q194 &amp; "لایه"&amp;" "&amp; AC194 &amp;"سانتی متر"</f>
        <v>شلنگ های لاستیک ضد روغن قطر32 ضخامت 6 2لایه 90سانتی متر</v>
      </c>
      <c r="B194" s="9">
        <v>1</v>
      </c>
      <c r="C194" s="9" t="s">
        <v>135</v>
      </c>
      <c r="D194" s="9" t="s">
        <v>28</v>
      </c>
      <c r="E194" s="9">
        <v>32</v>
      </c>
      <c r="F194" s="9">
        <v>1</v>
      </c>
      <c r="G194" s="9">
        <v>1</v>
      </c>
      <c r="L194" s="9" t="s">
        <v>30</v>
      </c>
      <c r="M194" s="9">
        <v>6</v>
      </c>
      <c r="N194" s="9">
        <v>1</v>
      </c>
      <c r="O194" s="9">
        <v>1</v>
      </c>
      <c r="P194" s="9" t="s">
        <v>31</v>
      </c>
      <c r="Q194" s="9">
        <v>2</v>
      </c>
      <c r="R194" s="9">
        <v>1</v>
      </c>
      <c r="S194" s="9">
        <v>1</v>
      </c>
      <c r="T194" s="9" t="s">
        <v>32</v>
      </c>
      <c r="U194" s="15" t="s">
        <v>136</v>
      </c>
      <c r="V194" s="9">
        <v>1</v>
      </c>
      <c r="W194" s="9">
        <v>1</v>
      </c>
      <c r="AB194" s="9" t="s">
        <v>137</v>
      </c>
      <c r="AC194" s="9">
        <v>90</v>
      </c>
      <c r="AD194" s="9">
        <v>1</v>
      </c>
      <c r="AE194" s="9">
        <v>1</v>
      </c>
    </row>
    <row r="195" spans="1:31" s="9" customFormat="1" x14ac:dyDescent="0.25">
      <c r="A195" s="9" t="str">
        <f t="shared" si="11"/>
        <v>شلنگ های لاستیک ضد روغن قطر38 ضخامت 6 2لایه 90سانتی متر</v>
      </c>
      <c r="B195" s="9">
        <v>1</v>
      </c>
      <c r="C195" s="9" t="s">
        <v>135</v>
      </c>
      <c r="D195" s="9" t="s">
        <v>28</v>
      </c>
      <c r="E195" s="9">
        <v>38</v>
      </c>
      <c r="F195" s="9">
        <v>1</v>
      </c>
      <c r="G195" s="9">
        <v>1</v>
      </c>
      <c r="L195" s="9" t="s">
        <v>30</v>
      </c>
      <c r="M195" s="9">
        <v>6</v>
      </c>
      <c r="N195" s="9">
        <v>1</v>
      </c>
      <c r="O195" s="9">
        <v>1</v>
      </c>
      <c r="P195" s="9" t="s">
        <v>31</v>
      </c>
      <c r="Q195" s="9">
        <v>2</v>
      </c>
      <c r="R195" s="9">
        <v>1</v>
      </c>
      <c r="S195" s="9">
        <v>1</v>
      </c>
      <c r="T195" s="9" t="s">
        <v>32</v>
      </c>
      <c r="U195" s="15" t="s">
        <v>136</v>
      </c>
      <c r="V195" s="9">
        <v>1</v>
      </c>
      <c r="W195" s="9">
        <v>1</v>
      </c>
      <c r="AB195" s="9" t="s">
        <v>137</v>
      </c>
      <c r="AC195" s="9">
        <v>90</v>
      </c>
      <c r="AD195" s="9">
        <v>1</v>
      </c>
      <c r="AE195" s="9">
        <v>1</v>
      </c>
    </row>
    <row r="196" spans="1:31" s="9" customFormat="1" x14ac:dyDescent="0.25">
      <c r="A196" s="9" t="str">
        <f t="shared" si="11"/>
        <v>شلنگ های لاستیک ضد روغن قطر41 ضخامت 6 2لایه 90سانتی متر</v>
      </c>
      <c r="B196" s="9">
        <v>1</v>
      </c>
      <c r="C196" s="9" t="s">
        <v>135</v>
      </c>
      <c r="D196" s="9" t="s">
        <v>28</v>
      </c>
      <c r="E196" s="9">
        <v>41</v>
      </c>
      <c r="F196" s="9">
        <v>1</v>
      </c>
      <c r="G196" s="9">
        <v>1</v>
      </c>
      <c r="L196" s="9" t="s">
        <v>30</v>
      </c>
      <c r="M196" s="9">
        <v>6</v>
      </c>
      <c r="N196" s="9">
        <v>1</v>
      </c>
      <c r="O196" s="9">
        <v>1</v>
      </c>
      <c r="P196" s="9" t="s">
        <v>31</v>
      </c>
      <c r="Q196" s="9">
        <v>2</v>
      </c>
      <c r="R196" s="9">
        <v>1</v>
      </c>
      <c r="S196" s="9">
        <v>1</v>
      </c>
      <c r="T196" s="9" t="s">
        <v>32</v>
      </c>
      <c r="U196" s="15" t="s">
        <v>136</v>
      </c>
      <c r="V196" s="9">
        <v>1</v>
      </c>
      <c r="W196" s="9">
        <v>1</v>
      </c>
      <c r="AB196" s="9" t="s">
        <v>137</v>
      </c>
      <c r="AC196" s="9">
        <v>90</v>
      </c>
      <c r="AD196" s="9">
        <v>1</v>
      </c>
      <c r="AE196" s="9">
        <v>1</v>
      </c>
    </row>
    <row r="197" spans="1:31" s="9" customFormat="1" x14ac:dyDescent="0.25">
      <c r="A197" s="9" t="str">
        <f t="shared" si="11"/>
        <v>شلنگ های لاستیک ضد روغن قطر45 ضخامت 7 2لایه 90سانتی متر</v>
      </c>
      <c r="B197" s="9">
        <v>1</v>
      </c>
      <c r="C197" s="9" t="s">
        <v>135</v>
      </c>
      <c r="D197" s="9" t="s">
        <v>28</v>
      </c>
      <c r="E197" s="9">
        <v>45</v>
      </c>
      <c r="F197" s="9">
        <v>1</v>
      </c>
      <c r="G197" s="9">
        <v>1</v>
      </c>
      <c r="L197" s="9" t="s">
        <v>30</v>
      </c>
      <c r="M197" s="9">
        <v>7</v>
      </c>
      <c r="N197" s="9">
        <v>1</v>
      </c>
      <c r="O197" s="9">
        <v>1</v>
      </c>
      <c r="P197" s="9" t="s">
        <v>31</v>
      </c>
      <c r="Q197" s="9">
        <v>2</v>
      </c>
      <c r="R197" s="9">
        <v>1</v>
      </c>
      <c r="S197" s="9">
        <v>1</v>
      </c>
      <c r="T197" s="9" t="s">
        <v>32</v>
      </c>
      <c r="U197" s="15" t="s">
        <v>136</v>
      </c>
      <c r="V197" s="9">
        <v>1</v>
      </c>
      <c r="W197" s="9">
        <v>1</v>
      </c>
      <c r="AB197" s="9" t="s">
        <v>137</v>
      </c>
      <c r="AC197" s="9">
        <v>90</v>
      </c>
      <c r="AD197" s="9">
        <v>1</v>
      </c>
      <c r="AE197" s="9">
        <v>1</v>
      </c>
    </row>
    <row r="198" spans="1:31" s="9" customFormat="1" x14ac:dyDescent="0.25">
      <c r="A198" s="9" t="str">
        <f t="shared" si="11"/>
        <v>شلنگ های لاستیک ضد روغن قطر51 ضخامت 7 2لایه 90سانتی متر</v>
      </c>
      <c r="B198" s="9">
        <v>1</v>
      </c>
      <c r="C198" s="9" t="s">
        <v>135</v>
      </c>
      <c r="D198" s="9" t="s">
        <v>28</v>
      </c>
      <c r="E198" s="9">
        <v>51</v>
      </c>
      <c r="F198" s="9">
        <v>1</v>
      </c>
      <c r="G198" s="9">
        <v>1</v>
      </c>
      <c r="L198" s="9" t="s">
        <v>30</v>
      </c>
      <c r="M198" s="9">
        <v>7</v>
      </c>
      <c r="N198" s="9">
        <v>1</v>
      </c>
      <c r="O198" s="9">
        <v>1</v>
      </c>
      <c r="P198" s="9" t="s">
        <v>31</v>
      </c>
      <c r="Q198" s="9">
        <v>2</v>
      </c>
      <c r="R198" s="9">
        <v>1</v>
      </c>
      <c r="S198" s="9">
        <v>1</v>
      </c>
      <c r="T198" s="9" t="s">
        <v>32</v>
      </c>
      <c r="U198" s="15" t="s">
        <v>136</v>
      </c>
      <c r="V198" s="9">
        <v>1</v>
      </c>
      <c r="W198" s="9">
        <v>1</v>
      </c>
      <c r="AB198" s="9" t="s">
        <v>137</v>
      </c>
      <c r="AC198" s="9">
        <v>90</v>
      </c>
      <c r="AD198" s="9">
        <v>1</v>
      </c>
      <c r="AE198" s="9">
        <v>1</v>
      </c>
    </row>
    <row r="199" spans="1:31" s="9" customFormat="1" x14ac:dyDescent="0.25">
      <c r="A199" s="9" t="str">
        <f t="shared" si="11"/>
        <v>شلنگ های لاستیک ضد روغن قطر54 ضخامت 7 2لایه 90سانتی متر</v>
      </c>
      <c r="B199" s="9">
        <v>1</v>
      </c>
      <c r="C199" s="9" t="s">
        <v>135</v>
      </c>
      <c r="D199" s="9" t="s">
        <v>28</v>
      </c>
      <c r="E199" s="9">
        <v>54</v>
      </c>
      <c r="F199" s="9">
        <v>1</v>
      </c>
      <c r="G199" s="9">
        <v>1</v>
      </c>
      <c r="L199" s="9" t="s">
        <v>30</v>
      </c>
      <c r="M199" s="9">
        <v>7</v>
      </c>
      <c r="N199" s="9">
        <v>1</v>
      </c>
      <c r="O199" s="9">
        <v>1</v>
      </c>
      <c r="P199" s="9" t="s">
        <v>31</v>
      </c>
      <c r="Q199" s="9">
        <v>2</v>
      </c>
      <c r="R199" s="9">
        <v>1</v>
      </c>
      <c r="S199" s="9">
        <v>1</v>
      </c>
      <c r="T199" s="9" t="s">
        <v>32</v>
      </c>
      <c r="U199" s="15" t="s">
        <v>136</v>
      </c>
      <c r="V199" s="9">
        <v>1</v>
      </c>
      <c r="W199" s="9">
        <v>1</v>
      </c>
      <c r="AB199" s="9" t="s">
        <v>137</v>
      </c>
      <c r="AC199" s="9">
        <v>90</v>
      </c>
      <c r="AD199" s="9">
        <v>1</v>
      </c>
      <c r="AE199" s="9">
        <v>1</v>
      </c>
    </row>
    <row r="200" spans="1:31" s="9" customFormat="1" x14ac:dyDescent="0.25">
      <c r="A200" s="9" t="str">
        <f t="shared" si="11"/>
        <v>شلنگ های لاستیک ضد روغن قطر57 ضخامت 7 2لایه 90سانتی متر</v>
      </c>
      <c r="B200" s="9">
        <v>1</v>
      </c>
      <c r="C200" s="9" t="s">
        <v>135</v>
      </c>
      <c r="D200" s="9" t="s">
        <v>28</v>
      </c>
      <c r="E200" s="9">
        <v>57</v>
      </c>
      <c r="F200" s="9">
        <v>1</v>
      </c>
      <c r="G200" s="9">
        <v>1</v>
      </c>
      <c r="L200" s="9" t="s">
        <v>30</v>
      </c>
      <c r="M200" s="9">
        <v>7</v>
      </c>
      <c r="N200" s="9">
        <v>1</v>
      </c>
      <c r="O200" s="9">
        <v>1</v>
      </c>
      <c r="P200" s="9" t="s">
        <v>31</v>
      </c>
      <c r="Q200" s="9">
        <v>2</v>
      </c>
      <c r="R200" s="9">
        <v>1</v>
      </c>
      <c r="S200" s="9">
        <v>1</v>
      </c>
      <c r="T200" s="9" t="s">
        <v>32</v>
      </c>
      <c r="U200" s="15" t="s">
        <v>136</v>
      </c>
      <c r="V200" s="9">
        <v>1</v>
      </c>
      <c r="W200" s="9">
        <v>1</v>
      </c>
      <c r="AB200" s="9" t="s">
        <v>137</v>
      </c>
      <c r="AC200" s="9">
        <v>90</v>
      </c>
      <c r="AD200" s="9">
        <v>1</v>
      </c>
      <c r="AE200" s="9">
        <v>1</v>
      </c>
    </row>
    <row r="201" spans="1:31" s="9" customFormat="1" x14ac:dyDescent="0.25">
      <c r="A201" s="9" t="str">
        <f t="shared" si="11"/>
        <v>شلنگ های لاستیک ضد روغن قطر60 ضخامت 7 2لایه 90سانتی متر</v>
      </c>
      <c r="B201" s="9">
        <v>1</v>
      </c>
      <c r="C201" s="9" t="s">
        <v>135</v>
      </c>
      <c r="D201" s="9" t="s">
        <v>28</v>
      </c>
      <c r="E201" s="9">
        <v>60</v>
      </c>
      <c r="F201" s="9">
        <v>1</v>
      </c>
      <c r="G201" s="9">
        <v>1</v>
      </c>
      <c r="L201" s="9" t="s">
        <v>30</v>
      </c>
      <c r="M201" s="9">
        <v>7</v>
      </c>
      <c r="N201" s="9">
        <v>1</v>
      </c>
      <c r="O201" s="9">
        <v>1</v>
      </c>
      <c r="P201" s="9" t="s">
        <v>31</v>
      </c>
      <c r="Q201" s="9">
        <v>2</v>
      </c>
      <c r="R201" s="9">
        <v>1</v>
      </c>
      <c r="S201" s="9">
        <v>1</v>
      </c>
      <c r="T201" s="9" t="s">
        <v>32</v>
      </c>
      <c r="U201" s="15" t="s">
        <v>136</v>
      </c>
      <c r="V201" s="9">
        <v>1</v>
      </c>
      <c r="W201" s="9">
        <v>1</v>
      </c>
      <c r="AB201" s="9" t="s">
        <v>137</v>
      </c>
      <c r="AC201" s="9">
        <v>90</v>
      </c>
      <c r="AD201" s="9">
        <v>1</v>
      </c>
      <c r="AE201" s="9">
        <v>1</v>
      </c>
    </row>
    <row r="202" spans="1:31" s="9" customFormat="1" x14ac:dyDescent="0.25">
      <c r="A202" s="9" t="str">
        <f t="shared" si="11"/>
        <v>شلنگ های لاستیک ضد روغن قطر63 ضخامت 8 2لایه 90سانتی متر</v>
      </c>
      <c r="B202" s="9">
        <v>1</v>
      </c>
      <c r="C202" s="9" t="s">
        <v>135</v>
      </c>
      <c r="D202" s="9" t="s">
        <v>28</v>
      </c>
      <c r="E202" s="9">
        <v>63</v>
      </c>
      <c r="F202" s="9">
        <v>1</v>
      </c>
      <c r="G202" s="9">
        <v>1</v>
      </c>
      <c r="L202" s="9" t="s">
        <v>30</v>
      </c>
      <c r="M202" s="9">
        <v>8</v>
      </c>
      <c r="N202" s="9">
        <v>1</v>
      </c>
      <c r="O202" s="9">
        <v>1</v>
      </c>
      <c r="P202" s="9" t="s">
        <v>31</v>
      </c>
      <c r="Q202" s="9">
        <v>2</v>
      </c>
      <c r="R202" s="9">
        <v>1</v>
      </c>
      <c r="S202" s="9">
        <v>1</v>
      </c>
      <c r="T202" s="9" t="s">
        <v>32</v>
      </c>
      <c r="U202" s="15" t="s">
        <v>136</v>
      </c>
      <c r="V202" s="9">
        <v>1</v>
      </c>
      <c r="W202" s="9">
        <v>1</v>
      </c>
      <c r="AB202" s="9" t="s">
        <v>137</v>
      </c>
      <c r="AC202" s="9">
        <v>90</v>
      </c>
      <c r="AD202" s="9">
        <v>1</v>
      </c>
      <c r="AE202" s="9">
        <v>1</v>
      </c>
    </row>
    <row r="203" spans="1:31" s="9" customFormat="1" x14ac:dyDescent="0.25">
      <c r="A203" s="9" t="str">
        <f t="shared" si="11"/>
        <v>شلنگ های لاستیک ضد روغن قطر65 ضخامت 8 2لایه 90سانتی متر</v>
      </c>
      <c r="B203" s="9">
        <v>1</v>
      </c>
      <c r="C203" s="9" t="s">
        <v>135</v>
      </c>
      <c r="D203" s="9" t="s">
        <v>28</v>
      </c>
      <c r="E203" s="9">
        <v>65</v>
      </c>
      <c r="F203" s="9">
        <v>1</v>
      </c>
      <c r="G203" s="9">
        <v>1</v>
      </c>
      <c r="L203" s="9" t="s">
        <v>30</v>
      </c>
      <c r="M203" s="9">
        <v>8</v>
      </c>
      <c r="N203" s="9">
        <v>1</v>
      </c>
      <c r="O203" s="9">
        <v>1</v>
      </c>
      <c r="P203" s="9" t="s">
        <v>31</v>
      </c>
      <c r="Q203" s="9">
        <v>2</v>
      </c>
      <c r="R203" s="9">
        <v>1</v>
      </c>
      <c r="S203" s="9">
        <v>1</v>
      </c>
      <c r="T203" s="9" t="s">
        <v>32</v>
      </c>
      <c r="U203" s="15" t="s">
        <v>136</v>
      </c>
      <c r="V203" s="9">
        <v>1</v>
      </c>
      <c r="W203" s="9">
        <v>1</v>
      </c>
      <c r="AB203" s="9" t="s">
        <v>137</v>
      </c>
      <c r="AC203" s="9">
        <v>90</v>
      </c>
      <c r="AD203" s="9">
        <v>1</v>
      </c>
      <c r="AE203" s="9">
        <v>1</v>
      </c>
    </row>
    <row r="204" spans="1:31" s="9" customFormat="1" x14ac:dyDescent="0.25">
      <c r="A204" s="9" t="str">
        <f t="shared" si="11"/>
        <v>شلنگ های لاستیک ضد روغن قطر70 ضخامت 8 2لایه 90سانتی متر</v>
      </c>
      <c r="B204" s="9">
        <v>1</v>
      </c>
      <c r="C204" s="9" t="s">
        <v>135</v>
      </c>
      <c r="D204" s="9" t="s">
        <v>28</v>
      </c>
      <c r="E204" s="9">
        <v>70</v>
      </c>
      <c r="F204" s="9">
        <v>1</v>
      </c>
      <c r="G204" s="9">
        <v>1</v>
      </c>
      <c r="L204" s="9" t="s">
        <v>30</v>
      </c>
      <c r="M204" s="9">
        <v>8</v>
      </c>
      <c r="N204" s="9">
        <v>1</v>
      </c>
      <c r="O204" s="9">
        <v>1</v>
      </c>
      <c r="P204" s="9" t="s">
        <v>31</v>
      </c>
      <c r="Q204" s="9">
        <v>2</v>
      </c>
      <c r="R204" s="9">
        <v>1</v>
      </c>
      <c r="S204" s="9">
        <v>1</v>
      </c>
      <c r="T204" s="9" t="s">
        <v>32</v>
      </c>
      <c r="U204" s="15" t="s">
        <v>136</v>
      </c>
      <c r="V204" s="9">
        <v>1</v>
      </c>
      <c r="W204" s="9">
        <v>1</v>
      </c>
      <c r="AB204" s="9" t="s">
        <v>137</v>
      </c>
      <c r="AC204" s="9">
        <v>90</v>
      </c>
      <c r="AD204" s="9">
        <v>1</v>
      </c>
      <c r="AE204" s="9">
        <v>1</v>
      </c>
    </row>
    <row r="205" spans="1:31" s="9" customFormat="1" x14ac:dyDescent="0.25">
      <c r="A205" s="9" t="str">
        <f t="shared" si="11"/>
        <v>شلنگ های لاستیک ضد روغن قطر76 ضخامت 8 2لایه 90سانتی متر</v>
      </c>
      <c r="B205" s="9">
        <v>1</v>
      </c>
      <c r="C205" s="9" t="s">
        <v>135</v>
      </c>
      <c r="D205" s="9" t="s">
        <v>28</v>
      </c>
      <c r="E205" s="9">
        <v>76</v>
      </c>
      <c r="F205" s="9">
        <v>1</v>
      </c>
      <c r="G205" s="9">
        <v>1</v>
      </c>
      <c r="L205" s="9" t="s">
        <v>30</v>
      </c>
      <c r="M205" s="9">
        <v>8</v>
      </c>
      <c r="N205" s="9">
        <v>1</v>
      </c>
      <c r="O205" s="9">
        <v>1</v>
      </c>
      <c r="P205" s="9" t="s">
        <v>31</v>
      </c>
      <c r="Q205" s="9">
        <v>2</v>
      </c>
      <c r="R205" s="9">
        <v>1</v>
      </c>
      <c r="S205" s="9">
        <v>1</v>
      </c>
      <c r="T205" s="9" t="s">
        <v>32</v>
      </c>
      <c r="U205" s="15" t="s">
        <v>136</v>
      </c>
      <c r="V205" s="9">
        <v>1</v>
      </c>
      <c r="W205" s="9">
        <v>1</v>
      </c>
      <c r="AB205" s="9" t="s">
        <v>137</v>
      </c>
      <c r="AC205" s="9">
        <v>90</v>
      </c>
      <c r="AD205" s="9">
        <v>1</v>
      </c>
      <c r="AE205" s="9">
        <v>1</v>
      </c>
    </row>
    <row r="206" spans="1:31" s="9" customFormat="1" x14ac:dyDescent="0.25">
      <c r="A206" s="9" t="str">
        <f t="shared" si="11"/>
        <v>شلنگ های لاستیک ضد روغن قطر80 ضخامت 9 2لایه 90سانتی متر</v>
      </c>
      <c r="B206" s="9">
        <v>1</v>
      </c>
      <c r="C206" s="9" t="s">
        <v>135</v>
      </c>
      <c r="D206" s="9" t="s">
        <v>28</v>
      </c>
      <c r="E206" s="9">
        <v>80</v>
      </c>
      <c r="F206" s="9">
        <v>1</v>
      </c>
      <c r="G206" s="9">
        <v>1</v>
      </c>
      <c r="L206" s="9" t="s">
        <v>30</v>
      </c>
      <c r="M206" s="9">
        <v>9</v>
      </c>
      <c r="N206" s="9">
        <v>1</v>
      </c>
      <c r="O206" s="9">
        <v>1</v>
      </c>
      <c r="P206" s="9" t="s">
        <v>31</v>
      </c>
      <c r="Q206" s="9">
        <v>2</v>
      </c>
      <c r="R206" s="9">
        <v>1</v>
      </c>
      <c r="S206" s="9">
        <v>1</v>
      </c>
      <c r="T206" s="9" t="s">
        <v>32</v>
      </c>
      <c r="U206" s="15" t="s">
        <v>136</v>
      </c>
      <c r="V206" s="9">
        <v>1</v>
      </c>
      <c r="W206" s="9">
        <v>1</v>
      </c>
      <c r="AB206" s="9" t="s">
        <v>137</v>
      </c>
      <c r="AC206" s="9">
        <v>90</v>
      </c>
      <c r="AD206" s="9">
        <v>1</v>
      </c>
      <c r="AE206" s="9">
        <v>1</v>
      </c>
    </row>
    <row r="207" spans="1:31" s="9" customFormat="1" x14ac:dyDescent="0.25">
      <c r="A207" s="9" t="str">
        <f t="shared" si="11"/>
        <v>شلنگ های لاستیک ضد روغن قطر89 ضخامت 9 2لایه 90سانتی متر</v>
      </c>
      <c r="B207" s="9">
        <v>1</v>
      </c>
      <c r="C207" s="9" t="s">
        <v>135</v>
      </c>
      <c r="D207" s="9" t="s">
        <v>28</v>
      </c>
      <c r="E207" s="9">
        <v>89</v>
      </c>
      <c r="F207" s="9">
        <v>1</v>
      </c>
      <c r="G207" s="9">
        <v>1</v>
      </c>
      <c r="L207" s="9" t="s">
        <v>30</v>
      </c>
      <c r="M207" s="9">
        <v>9</v>
      </c>
      <c r="N207" s="9">
        <v>1</v>
      </c>
      <c r="O207" s="9">
        <v>1</v>
      </c>
      <c r="P207" s="9" t="s">
        <v>31</v>
      </c>
      <c r="Q207" s="9">
        <v>2</v>
      </c>
      <c r="R207" s="9">
        <v>1</v>
      </c>
      <c r="S207" s="9">
        <v>1</v>
      </c>
      <c r="T207" s="9" t="s">
        <v>32</v>
      </c>
      <c r="U207" s="15" t="s">
        <v>136</v>
      </c>
      <c r="V207" s="9">
        <v>1</v>
      </c>
      <c r="W207" s="9">
        <v>1</v>
      </c>
      <c r="AB207" s="9" t="s">
        <v>137</v>
      </c>
      <c r="AC207" s="9">
        <v>90</v>
      </c>
      <c r="AD207" s="9">
        <v>1</v>
      </c>
      <c r="AE207" s="9">
        <v>1</v>
      </c>
    </row>
    <row r="208" spans="1:31" s="9" customFormat="1" x14ac:dyDescent="0.25">
      <c r="A208" s="9" t="str">
        <f t="shared" si="11"/>
        <v>شلنگ های لاستیک ضد روغن قطر102 ضخامت 9 2لایه 90سانتی متر</v>
      </c>
      <c r="B208" s="9">
        <v>1</v>
      </c>
      <c r="C208" s="9" t="s">
        <v>135</v>
      </c>
      <c r="D208" s="9" t="s">
        <v>28</v>
      </c>
      <c r="E208" s="9">
        <v>102</v>
      </c>
      <c r="F208" s="9">
        <v>1</v>
      </c>
      <c r="G208" s="9">
        <v>1</v>
      </c>
      <c r="L208" s="9" t="s">
        <v>30</v>
      </c>
      <c r="M208" s="9">
        <v>9</v>
      </c>
      <c r="N208" s="9">
        <v>1</v>
      </c>
      <c r="O208" s="9">
        <v>1</v>
      </c>
      <c r="P208" s="9" t="s">
        <v>31</v>
      </c>
      <c r="Q208" s="9">
        <v>2</v>
      </c>
      <c r="R208" s="9">
        <v>1</v>
      </c>
      <c r="S208" s="9">
        <v>1</v>
      </c>
      <c r="T208" s="9" t="s">
        <v>32</v>
      </c>
      <c r="U208" s="15" t="s">
        <v>136</v>
      </c>
      <c r="V208" s="9">
        <v>1</v>
      </c>
      <c r="W208" s="9">
        <v>1</v>
      </c>
      <c r="AB208" s="9" t="s">
        <v>137</v>
      </c>
      <c r="AC208" s="9">
        <v>90</v>
      </c>
      <c r="AD208" s="9">
        <v>1</v>
      </c>
      <c r="AE208" s="9">
        <v>1</v>
      </c>
    </row>
    <row r="209" spans="1:31" s="9" customFormat="1" x14ac:dyDescent="0.25">
      <c r="A209" s="9" t="str">
        <f t="shared" si="11"/>
        <v>شلنگ های لاستیک ضد روغن قطر114 ضخامت 10 2لایه 90سانتی متر</v>
      </c>
      <c r="B209" s="9">
        <v>1</v>
      </c>
      <c r="C209" s="9" t="s">
        <v>135</v>
      </c>
      <c r="D209" s="9" t="s">
        <v>28</v>
      </c>
      <c r="E209" s="9">
        <v>114</v>
      </c>
      <c r="F209" s="9">
        <v>1</v>
      </c>
      <c r="G209" s="9">
        <v>1</v>
      </c>
      <c r="L209" s="9" t="s">
        <v>30</v>
      </c>
      <c r="M209" s="9">
        <v>10</v>
      </c>
      <c r="N209" s="9">
        <v>1</v>
      </c>
      <c r="O209" s="9">
        <v>1</v>
      </c>
      <c r="P209" s="9" t="s">
        <v>31</v>
      </c>
      <c r="Q209" s="9">
        <v>2</v>
      </c>
      <c r="R209" s="9">
        <v>1</v>
      </c>
      <c r="S209" s="9">
        <v>1</v>
      </c>
      <c r="T209" s="9" t="s">
        <v>32</v>
      </c>
      <c r="U209" s="15" t="s">
        <v>136</v>
      </c>
      <c r="V209" s="9">
        <v>1</v>
      </c>
      <c r="W209" s="9">
        <v>1</v>
      </c>
      <c r="AB209" s="9" t="s">
        <v>137</v>
      </c>
      <c r="AC209" s="9">
        <v>90</v>
      </c>
      <c r="AD209" s="9">
        <v>1</v>
      </c>
      <c r="AE209" s="9">
        <v>1</v>
      </c>
    </row>
    <row r="210" spans="1:31" s="9" customFormat="1" x14ac:dyDescent="0.25">
      <c r="A210" s="9" t="str">
        <f t="shared" si="11"/>
        <v>شلنگ های لاستیک ضد روغن قطر125 ضخامت 10 2لایه 90سانتی متر</v>
      </c>
      <c r="B210" s="9">
        <v>1</v>
      </c>
      <c r="C210" s="9" t="s">
        <v>135</v>
      </c>
      <c r="D210" s="9" t="s">
        <v>28</v>
      </c>
      <c r="E210" s="9">
        <v>125</v>
      </c>
      <c r="F210" s="9">
        <v>1</v>
      </c>
      <c r="G210" s="9">
        <v>1</v>
      </c>
      <c r="L210" s="9" t="s">
        <v>30</v>
      </c>
      <c r="M210" s="9">
        <v>10</v>
      </c>
      <c r="N210" s="9">
        <v>1</v>
      </c>
      <c r="O210" s="9">
        <v>1</v>
      </c>
      <c r="P210" s="9" t="s">
        <v>31</v>
      </c>
      <c r="Q210" s="9">
        <v>2</v>
      </c>
      <c r="R210" s="9">
        <v>1</v>
      </c>
      <c r="S210" s="9">
        <v>1</v>
      </c>
      <c r="T210" s="9" t="s">
        <v>32</v>
      </c>
      <c r="U210" s="15" t="s">
        <v>136</v>
      </c>
      <c r="V210" s="9">
        <v>1</v>
      </c>
      <c r="W210" s="9">
        <v>1</v>
      </c>
      <c r="AB210" s="9" t="s">
        <v>137</v>
      </c>
      <c r="AC210" s="9">
        <v>90</v>
      </c>
      <c r="AD210" s="9">
        <v>1</v>
      </c>
      <c r="AE210" s="9">
        <v>1</v>
      </c>
    </row>
    <row r="211" spans="1:31" s="3" customFormat="1" x14ac:dyDescent="0.25">
      <c r="A211" s="3" t="str">
        <f>"شلنگ های لاستیک آب" &amp;" " &amp;"قطر"&amp; E211 &amp;" "&amp; "ضخامت "&amp; M211 &amp;" "&amp;Q211 &amp; "لایه"&amp;" "&amp; AC211 &amp;"سانتی متر"</f>
        <v>شلنگ های لاستیک آب قطر28 ضخامت 6 2لایه 90سانتی متر</v>
      </c>
      <c r="B211" s="3">
        <v>1</v>
      </c>
      <c r="C211" s="3" t="s">
        <v>138</v>
      </c>
      <c r="D211" s="3" t="s">
        <v>28</v>
      </c>
      <c r="E211" s="3">
        <v>28</v>
      </c>
      <c r="F211" s="3">
        <v>1</v>
      </c>
      <c r="G211" s="3">
        <v>1</v>
      </c>
      <c r="L211" s="3" t="s">
        <v>30</v>
      </c>
      <c r="M211" s="3">
        <v>6</v>
      </c>
      <c r="N211" s="3">
        <v>1</v>
      </c>
      <c r="O211" s="3">
        <v>1</v>
      </c>
      <c r="P211" s="3" t="s">
        <v>31</v>
      </c>
      <c r="Q211" s="3">
        <v>2</v>
      </c>
      <c r="R211" s="3">
        <v>1</v>
      </c>
      <c r="S211" s="3">
        <v>1</v>
      </c>
      <c r="T211" s="3" t="s">
        <v>32</v>
      </c>
      <c r="U211" s="16" t="s">
        <v>54</v>
      </c>
      <c r="V211" s="3">
        <v>1</v>
      </c>
      <c r="W211" s="3">
        <v>1</v>
      </c>
      <c r="AB211" s="3" t="s">
        <v>137</v>
      </c>
      <c r="AC211" s="3">
        <v>90</v>
      </c>
      <c r="AD211" s="3">
        <v>1</v>
      </c>
      <c r="AE211" s="3">
        <v>1</v>
      </c>
    </row>
    <row r="212" spans="1:31" s="3" customFormat="1" x14ac:dyDescent="0.25">
      <c r="A212" s="3" t="str">
        <f t="shared" ref="A212:A228" si="12">"شلنگ های لاستیک آب" &amp;" " &amp;"قطر"&amp; E212 &amp;" "&amp; "ضخامت "&amp; M212 &amp;" "&amp;Q212 &amp; "لایه"&amp;" "&amp; AC212 &amp;"سانتی متر"</f>
        <v>شلنگ های لاستیک آب قطر32 ضخامت 6 2لایه 90سانتی متر</v>
      </c>
      <c r="B212" s="3">
        <v>1</v>
      </c>
      <c r="C212" s="3" t="s">
        <v>138</v>
      </c>
      <c r="D212" s="3" t="s">
        <v>28</v>
      </c>
      <c r="E212" s="3">
        <v>32</v>
      </c>
      <c r="F212" s="3">
        <v>1</v>
      </c>
      <c r="G212" s="3">
        <v>1</v>
      </c>
      <c r="L212" s="3" t="s">
        <v>30</v>
      </c>
      <c r="M212" s="3">
        <v>6</v>
      </c>
      <c r="N212" s="3">
        <v>1</v>
      </c>
      <c r="O212" s="3">
        <v>1</v>
      </c>
      <c r="P212" s="3" t="s">
        <v>31</v>
      </c>
      <c r="Q212" s="3">
        <v>2</v>
      </c>
      <c r="R212" s="3">
        <v>1</v>
      </c>
      <c r="S212" s="3">
        <v>1</v>
      </c>
      <c r="T212" s="3" t="s">
        <v>32</v>
      </c>
      <c r="U212" s="16" t="s">
        <v>54</v>
      </c>
      <c r="V212" s="3">
        <v>1</v>
      </c>
      <c r="W212" s="3">
        <v>1</v>
      </c>
      <c r="AB212" s="3" t="s">
        <v>137</v>
      </c>
      <c r="AC212" s="3">
        <v>90</v>
      </c>
      <c r="AD212" s="3">
        <v>1</v>
      </c>
      <c r="AE212" s="3">
        <v>1</v>
      </c>
    </row>
    <row r="213" spans="1:31" s="3" customFormat="1" x14ac:dyDescent="0.25">
      <c r="A213" s="3" t="str">
        <f t="shared" si="12"/>
        <v>شلنگ های لاستیک آب قطر38 ضخامت 6 2لایه 90سانتی متر</v>
      </c>
      <c r="B213" s="3">
        <v>1</v>
      </c>
      <c r="C213" s="3" t="s">
        <v>138</v>
      </c>
      <c r="D213" s="3" t="s">
        <v>28</v>
      </c>
      <c r="E213" s="3">
        <v>38</v>
      </c>
      <c r="F213" s="3">
        <v>1</v>
      </c>
      <c r="G213" s="3">
        <v>1</v>
      </c>
      <c r="L213" s="3" t="s">
        <v>30</v>
      </c>
      <c r="M213" s="3">
        <v>6</v>
      </c>
      <c r="N213" s="3">
        <v>1</v>
      </c>
      <c r="O213" s="3">
        <v>1</v>
      </c>
      <c r="P213" s="3" t="s">
        <v>31</v>
      </c>
      <c r="Q213" s="3">
        <v>2</v>
      </c>
      <c r="R213" s="3">
        <v>1</v>
      </c>
      <c r="S213" s="3">
        <v>1</v>
      </c>
      <c r="T213" s="3" t="s">
        <v>32</v>
      </c>
      <c r="U213" s="16" t="s">
        <v>54</v>
      </c>
      <c r="V213" s="3">
        <v>1</v>
      </c>
      <c r="W213" s="3">
        <v>1</v>
      </c>
      <c r="AB213" s="3" t="s">
        <v>137</v>
      </c>
      <c r="AC213" s="3">
        <v>90</v>
      </c>
      <c r="AD213" s="3">
        <v>1</v>
      </c>
      <c r="AE213" s="3">
        <v>1</v>
      </c>
    </row>
    <row r="214" spans="1:31" s="3" customFormat="1" x14ac:dyDescent="0.25">
      <c r="A214" s="3" t="str">
        <f t="shared" si="12"/>
        <v>شلنگ های لاستیک آب قطر41 ضخامت 6 2لایه 90سانتی متر</v>
      </c>
      <c r="B214" s="3">
        <v>1</v>
      </c>
      <c r="C214" s="3" t="s">
        <v>138</v>
      </c>
      <c r="D214" s="3" t="s">
        <v>28</v>
      </c>
      <c r="E214" s="3">
        <v>41</v>
      </c>
      <c r="F214" s="3">
        <v>1</v>
      </c>
      <c r="G214" s="3">
        <v>1</v>
      </c>
      <c r="L214" s="3" t="s">
        <v>30</v>
      </c>
      <c r="M214" s="3">
        <v>6</v>
      </c>
      <c r="N214" s="3">
        <v>1</v>
      </c>
      <c r="O214" s="3">
        <v>1</v>
      </c>
      <c r="P214" s="3" t="s">
        <v>31</v>
      </c>
      <c r="Q214" s="3">
        <v>2</v>
      </c>
      <c r="R214" s="3">
        <v>1</v>
      </c>
      <c r="S214" s="3">
        <v>1</v>
      </c>
      <c r="T214" s="3" t="s">
        <v>32</v>
      </c>
      <c r="U214" s="16" t="s">
        <v>54</v>
      </c>
      <c r="V214" s="3">
        <v>1</v>
      </c>
      <c r="W214" s="3">
        <v>1</v>
      </c>
      <c r="AB214" s="3" t="s">
        <v>137</v>
      </c>
      <c r="AC214" s="3">
        <v>90</v>
      </c>
      <c r="AD214" s="3">
        <v>1</v>
      </c>
      <c r="AE214" s="3">
        <v>1</v>
      </c>
    </row>
    <row r="215" spans="1:31" s="3" customFormat="1" x14ac:dyDescent="0.25">
      <c r="A215" s="3" t="str">
        <f t="shared" si="12"/>
        <v>شلنگ های لاستیک آب قطر45 ضخامت 7 2لایه 90سانتی متر</v>
      </c>
      <c r="B215" s="3">
        <v>1</v>
      </c>
      <c r="C215" s="3" t="s">
        <v>138</v>
      </c>
      <c r="D215" s="3" t="s">
        <v>28</v>
      </c>
      <c r="E215" s="3">
        <v>45</v>
      </c>
      <c r="F215" s="3">
        <v>1</v>
      </c>
      <c r="G215" s="3">
        <v>1</v>
      </c>
      <c r="L215" s="3" t="s">
        <v>30</v>
      </c>
      <c r="M215" s="3">
        <v>7</v>
      </c>
      <c r="N215" s="3">
        <v>1</v>
      </c>
      <c r="O215" s="3">
        <v>1</v>
      </c>
      <c r="P215" s="3" t="s">
        <v>31</v>
      </c>
      <c r="Q215" s="3">
        <v>2</v>
      </c>
      <c r="R215" s="3">
        <v>1</v>
      </c>
      <c r="S215" s="3">
        <v>1</v>
      </c>
      <c r="T215" s="3" t="s">
        <v>32</v>
      </c>
      <c r="U215" s="16" t="s">
        <v>54</v>
      </c>
      <c r="V215" s="3">
        <v>1</v>
      </c>
      <c r="W215" s="3">
        <v>1</v>
      </c>
      <c r="AB215" s="3" t="s">
        <v>137</v>
      </c>
      <c r="AC215" s="3">
        <v>90</v>
      </c>
      <c r="AD215" s="3">
        <v>1</v>
      </c>
      <c r="AE215" s="3">
        <v>1</v>
      </c>
    </row>
    <row r="216" spans="1:31" s="3" customFormat="1" x14ac:dyDescent="0.25">
      <c r="A216" s="3" t="str">
        <f t="shared" si="12"/>
        <v>شلنگ های لاستیک آب قطر51 ضخامت 7 2لایه 90سانتی متر</v>
      </c>
      <c r="B216" s="3">
        <v>1</v>
      </c>
      <c r="C216" s="3" t="s">
        <v>138</v>
      </c>
      <c r="D216" s="3" t="s">
        <v>28</v>
      </c>
      <c r="E216" s="3">
        <v>51</v>
      </c>
      <c r="F216" s="3">
        <v>1</v>
      </c>
      <c r="G216" s="3">
        <v>1</v>
      </c>
      <c r="L216" s="3" t="s">
        <v>30</v>
      </c>
      <c r="M216" s="3">
        <v>7</v>
      </c>
      <c r="N216" s="3">
        <v>1</v>
      </c>
      <c r="O216" s="3">
        <v>1</v>
      </c>
      <c r="P216" s="3" t="s">
        <v>31</v>
      </c>
      <c r="Q216" s="3">
        <v>2</v>
      </c>
      <c r="R216" s="3">
        <v>1</v>
      </c>
      <c r="S216" s="3">
        <v>1</v>
      </c>
      <c r="T216" s="3" t="s">
        <v>32</v>
      </c>
      <c r="U216" s="16" t="s">
        <v>54</v>
      </c>
      <c r="V216" s="3">
        <v>1</v>
      </c>
      <c r="W216" s="3">
        <v>1</v>
      </c>
      <c r="AB216" s="3" t="s">
        <v>137</v>
      </c>
      <c r="AC216" s="3">
        <v>90</v>
      </c>
      <c r="AD216" s="3">
        <v>1</v>
      </c>
      <c r="AE216" s="3">
        <v>1</v>
      </c>
    </row>
    <row r="217" spans="1:31" s="3" customFormat="1" x14ac:dyDescent="0.25">
      <c r="A217" s="3" t="str">
        <f t="shared" si="12"/>
        <v>شلنگ های لاستیک آب قطر54 ضخامت 7 2لایه 90سانتی متر</v>
      </c>
      <c r="B217" s="3">
        <v>1</v>
      </c>
      <c r="C217" s="3" t="s">
        <v>138</v>
      </c>
      <c r="D217" s="3" t="s">
        <v>28</v>
      </c>
      <c r="E217" s="3">
        <v>54</v>
      </c>
      <c r="F217" s="3">
        <v>1</v>
      </c>
      <c r="G217" s="3">
        <v>1</v>
      </c>
      <c r="L217" s="3" t="s">
        <v>30</v>
      </c>
      <c r="M217" s="3">
        <v>7</v>
      </c>
      <c r="N217" s="3">
        <v>1</v>
      </c>
      <c r="O217" s="3">
        <v>1</v>
      </c>
      <c r="P217" s="3" t="s">
        <v>31</v>
      </c>
      <c r="Q217" s="3">
        <v>2</v>
      </c>
      <c r="R217" s="3">
        <v>1</v>
      </c>
      <c r="S217" s="3">
        <v>1</v>
      </c>
      <c r="T217" s="3" t="s">
        <v>32</v>
      </c>
      <c r="U217" s="16" t="s">
        <v>54</v>
      </c>
      <c r="V217" s="3">
        <v>1</v>
      </c>
      <c r="W217" s="3">
        <v>1</v>
      </c>
      <c r="AB217" s="3" t="s">
        <v>137</v>
      </c>
      <c r="AC217" s="3">
        <v>90</v>
      </c>
      <c r="AD217" s="3">
        <v>1</v>
      </c>
      <c r="AE217" s="3">
        <v>1</v>
      </c>
    </row>
    <row r="218" spans="1:31" s="3" customFormat="1" x14ac:dyDescent="0.25">
      <c r="A218" s="3" t="str">
        <f t="shared" si="12"/>
        <v>شلنگ های لاستیک آب قطر57 ضخامت 7 2لایه 90سانتی متر</v>
      </c>
      <c r="B218" s="3">
        <v>1</v>
      </c>
      <c r="C218" s="3" t="s">
        <v>138</v>
      </c>
      <c r="D218" s="3" t="s">
        <v>28</v>
      </c>
      <c r="E218" s="3">
        <v>57</v>
      </c>
      <c r="F218" s="3">
        <v>1</v>
      </c>
      <c r="G218" s="3">
        <v>1</v>
      </c>
      <c r="L218" s="3" t="s">
        <v>30</v>
      </c>
      <c r="M218" s="3">
        <v>7</v>
      </c>
      <c r="N218" s="3">
        <v>1</v>
      </c>
      <c r="O218" s="3">
        <v>1</v>
      </c>
      <c r="P218" s="3" t="s">
        <v>31</v>
      </c>
      <c r="Q218" s="3">
        <v>2</v>
      </c>
      <c r="R218" s="3">
        <v>1</v>
      </c>
      <c r="S218" s="3">
        <v>1</v>
      </c>
      <c r="T218" s="3" t="s">
        <v>32</v>
      </c>
      <c r="U218" s="16" t="s">
        <v>54</v>
      </c>
      <c r="V218" s="3">
        <v>1</v>
      </c>
      <c r="W218" s="3">
        <v>1</v>
      </c>
      <c r="AB218" s="3" t="s">
        <v>137</v>
      </c>
      <c r="AC218" s="3">
        <v>90</v>
      </c>
      <c r="AD218" s="3">
        <v>1</v>
      </c>
      <c r="AE218" s="3">
        <v>1</v>
      </c>
    </row>
    <row r="219" spans="1:31" s="3" customFormat="1" x14ac:dyDescent="0.25">
      <c r="A219" s="3" t="str">
        <f t="shared" si="12"/>
        <v>شلنگ های لاستیک آب قطر60 ضخامت 7 2لایه 90سانتی متر</v>
      </c>
      <c r="B219" s="3">
        <v>1</v>
      </c>
      <c r="C219" s="3" t="s">
        <v>138</v>
      </c>
      <c r="D219" s="3" t="s">
        <v>28</v>
      </c>
      <c r="E219" s="3">
        <v>60</v>
      </c>
      <c r="F219" s="3">
        <v>1</v>
      </c>
      <c r="G219" s="3">
        <v>1</v>
      </c>
      <c r="L219" s="3" t="s">
        <v>30</v>
      </c>
      <c r="M219" s="3">
        <v>7</v>
      </c>
      <c r="N219" s="3">
        <v>1</v>
      </c>
      <c r="O219" s="3">
        <v>1</v>
      </c>
      <c r="P219" s="3" t="s">
        <v>31</v>
      </c>
      <c r="Q219" s="3">
        <v>2</v>
      </c>
      <c r="R219" s="3">
        <v>1</v>
      </c>
      <c r="S219" s="3">
        <v>1</v>
      </c>
      <c r="T219" s="3" t="s">
        <v>32</v>
      </c>
      <c r="U219" s="16" t="s">
        <v>54</v>
      </c>
      <c r="V219" s="3">
        <v>1</v>
      </c>
      <c r="W219" s="3">
        <v>1</v>
      </c>
      <c r="AB219" s="3" t="s">
        <v>137</v>
      </c>
      <c r="AC219" s="3">
        <v>90</v>
      </c>
      <c r="AD219" s="3">
        <v>1</v>
      </c>
      <c r="AE219" s="3">
        <v>1</v>
      </c>
    </row>
    <row r="220" spans="1:31" s="3" customFormat="1" x14ac:dyDescent="0.25">
      <c r="A220" s="3" t="str">
        <f t="shared" si="12"/>
        <v>شلنگ های لاستیک آب قطر63 ضخامت 8 2لایه 90سانتی متر</v>
      </c>
      <c r="B220" s="3">
        <v>1</v>
      </c>
      <c r="C220" s="3" t="s">
        <v>138</v>
      </c>
      <c r="D220" s="3" t="s">
        <v>28</v>
      </c>
      <c r="E220" s="3">
        <v>63</v>
      </c>
      <c r="F220" s="3">
        <v>1</v>
      </c>
      <c r="G220" s="3">
        <v>1</v>
      </c>
      <c r="L220" s="3" t="s">
        <v>30</v>
      </c>
      <c r="M220" s="3">
        <v>8</v>
      </c>
      <c r="N220" s="3">
        <v>1</v>
      </c>
      <c r="O220" s="3">
        <v>1</v>
      </c>
      <c r="P220" s="3" t="s">
        <v>31</v>
      </c>
      <c r="Q220" s="3">
        <v>2</v>
      </c>
      <c r="R220" s="3">
        <v>1</v>
      </c>
      <c r="S220" s="3">
        <v>1</v>
      </c>
      <c r="T220" s="3" t="s">
        <v>32</v>
      </c>
      <c r="U220" s="16" t="s">
        <v>54</v>
      </c>
      <c r="V220" s="3">
        <v>1</v>
      </c>
      <c r="W220" s="3">
        <v>1</v>
      </c>
      <c r="AB220" s="3" t="s">
        <v>137</v>
      </c>
      <c r="AC220" s="3">
        <v>90</v>
      </c>
      <c r="AD220" s="3">
        <v>1</v>
      </c>
      <c r="AE220" s="3">
        <v>1</v>
      </c>
    </row>
    <row r="221" spans="1:31" s="3" customFormat="1" x14ac:dyDescent="0.25">
      <c r="A221" s="3" t="str">
        <f t="shared" si="12"/>
        <v>شلنگ های لاستیک آب قطر65 ضخامت 8 2لایه 90سانتی متر</v>
      </c>
      <c r="B221" s="3">
        <v>1</v>
      </c>
      <c r="C221" s="3" t="s">
        <v>138</v>
      </c>
      <c r="D221" s="3" t="s">
        <v>28</v>
      </c>
      <c r="E221" s="3">
        <v>65</v>
      </c>
      <c r="F221" s="3">
        <v>1</v>
      </c>
      <c r="G221" s="3">
        <v>1</v>
      </c>
      <c r="L221" s="3" t="s">
        <v>30</v>
      </c>
      <c r="M221" s="3">
        <v>8</v>
      </c>
      <c r="N221" s="3">
        <v>1</v>
      </c>
      <c r="O221" s="3">
        <v>1</v>
      </c>
      <c r="P221" s="3" t="s">
        <v>31</v>
      </c>
      <c r="Q221" s="3">
        <v>2</v>
      </c>
      <c r="R221" s="3">
        <v>1</v>
      </c>
      <c r="S221" s="3">
        <v>1</v>
      </c>
      <c r="T221" s="3" t="s">
        <v>32</v>
      </c>
      <c r="U221" s="16" t="s">
        <v>54</v>
      </c>
      <c r="V221" s="3">
        <v>1</v>
      </c>
      <c r="W221" s="3">
        <v>1</v>
      </c>
      <c r="AB221" s="3" t="s">
        <v>137</v>
      </c>
      <c r="AC221" s="3">
        <v>90</v>
      </c>
      <c r="AD221" s="3">
        <v>1</v>
      </c>
      <c r="AE221" s="3">
        <v>1</v>
      </c>
    </row>
    <row r="222" spans="1:31" s="3" customFormat="1" x14ac:dyDescent="0.25">
      <c r="A222" s="3" t="str">
        <f t="shared" si="12"/>
        <v>شلنگ های لاستیک آب قطر70 ضخامت 8 2لایه 90سانتی متر</v>
      </c>
      <c r="B222" s="3">
        <v>1</v>
      </c>
      <c r="C222" s="3" t="s">
        <v>138</v>
      </c>
      <c r="D222" s="3" t="s">
        <v>28</v>
      </c>
      <c r="E222" s="3">
        <v>70</v>
      </c>
      <c r="F222" s="3">
        <v>1</v>
      </c>
      <c r="G222" s="3">
        <v>1</v>
      </c>
      <c r="L222" s="3" t="s">
        <v>30</v>
      </c>
      <c r="M222" s="3">
        <v>8</v>
      </c>
      <c r="N222" s="3">
        <v>1</v>
      </c>
      <c r="O222" s="3">
        <v>1</v>
      </c>
      <c r="P222" s="3" t="s">
        <v>31</v>
      </c>
      <c r="Q222" s="3">
        <v>2</v>
      </c>
      <c r="R222" s="3">
        <v>1</v>
      </c>
      <c r="S222" s="3">
        <v>1</v>
      </c>
      <c r="T222" s="3" t="s">
        <v>32</v>
      </c>
      <c r="U222" s="16" t="s">
        <v>54</v>
      </c>
      <c r="V222" s="3">
        <v>1</v>
      </c>
      <c r="W222" s="3">
        <v>1</v>
      </c>
      <c r="AB222" s="3" t="s">
        <v>137</v>
      </c>
      <c r="AC222" s="3">
        <v>90</v>
      </c>
      <c r="AD222" s="3">
        <v>1</v>
      </c>
      <c r="AE222" s="3">
        <v>1</v>
      </c>
    </row>
    <row r="223" spans="1:31" s="3" customFormat="1" x14ac:dyDescent="0.25">
      <c r="A223" s="3" t="str">
        <f t="shared" si="12"/>
        <v>شلنگ های لاستیک آب قطر76 ضخامت 8 2لایه 90سانتی متر</v>
      </c>
      <c r="B223" s="3">
        <v>1</v>
      </c>
      <c r="C223" s="3" t="s">
        <v>138</v>
      </c>
      <c r="D223" s="3" t="s">
        <v>28</v>
      </c>
      <c r="E223" s="3">
        <v>76</v>
      </c>
      <c r="F223" s="3">
        <v>1</v>
      </c>
      <c r="G223" s="3">
        <v>1</v>
      </c>
      <c r="L223" s="3" t="s">
        <v>30</v>
      </c>
      <c r="M223" s="3">
        <v>8</v>
      </c>
      <c r="N223" s="3">
        <v>1</v>
      </c>
      <c r="O223" s="3">
        <v>1</v>
      </c>
      <c r="P223" s="3" t="s">
        <v>31</v>
      </c>
      <c r="Q223" s="3">
        <v>2</v>
      </c>
      <c r="R223" s="3">
        <v>1</v>
      </c>
      <c r="S223" s="3">
        <v>1</v>
      </c>
      <c r="T223" s="3" t="s">
        <v>32</v>
      </c>
      <c r="U223" s="16" t="s">
        <v>54</v>
      </c>
      <c r="V223" s="3">
        <v>1</v>
      </c>
      <c r="W223" s="3">
        <v>1</v>
      </c>
      <c r="AB223" s="3" t="s">
        <v>137</v>
      </c>
      <c r="AC223" s="3">
        <v>90</v>
      </c>
      <c r="AD223" s="3">
        <v>1</v>
      </c>
      <c r="AE223" s="3">
        <v>1</v>
      </c>
    </row>
    <row r="224" spans="1:31" s="3" customFormat="1" x14ac:dyDescent="0.25">
      <c r="A224" s="3" t="str">
        <f t="shared" si="12"/>
        <v>شلنگ های لاستیک آب قطر80 ضخامت 9 2لایه 90سانتی متر</v>
      </c>
      <c r="B224" s="3">
        <v>1</v>
      </c>
      <c r="C224" s="3" t="s">
        <v>138</v>
      </c>
      <c r="D224" s="3" t="s">
        <v>28</v>
      </c>
      <c r="E224" s="3">
        <v>80</v>
      </c>
      <c r="F224" s="3">
        <v>1</v>
      </c>
      <c r="G224" s="3">
        <v>1</v>
      </c>
      <c r="L224" s="3" t="s">
        <v>30</v>
      </c>
      <c r="M224" s="3">
        <v>9</v>
      </c>
      <c r="N224" s="3">
        <v>1</v>
      </c>
      <c r="O224" s="3">
        <v>1</v>
      </c>
      <c r="P224" s="3" t="s">
        <v>31</v>
      </c>
      <c r="Q224" s="3">
        <v>2</v>
      </c>
      <c r="R224" s="3">
        <v>1</v>
      </c>
      <c r="S224" s="3">
        <v>1</v>
      </c>
      <c r="T224" s="3" t="s">
        <v>32</v>
      </c>
      <c r="U224" s="16" t="s">
        <v>54</v>
      </c>
      <c r="V224" s="3">
        <v>1</v>
      </c>
      <c r="W224" s="3">
        <v>1</v>
      </c>
      <c r="AB224" s="3" t="s">
        <v>137</v>
      </c>
      <c r="AC224" s="3">
        <v>90</v>
      </c>
      <c r="AD224" s="3">
        <v>1</v>
      </c>
      <c r="AE224" s="3">
        <v>1</v>
      </c>
    </row>
    <row r="225" spans="1:51" s="3" customFormat="1" x14ac:dyDescent="0.25">
      <c r="A225" s="3" t="str">
        <f t="shared" si="12"/>
        <v>شلنگ های لاستیک آب قطر89 ضخامت 9 2لایه 90سانتی متر</v>
      </c>
      <c r="B225" s="3">
        <v>1</v>
      </c>
      <c r="C225" s="3" t="s">
        <v>138</v>
      </c>
      <c r="D225" s="3" t="s">
        <v>28</v>
      </c>
      <c r="E225" s="3">
        <v>89</v>
      </c>
      <c r="F225" s="3">
        <v>1</v>
      </c>
      <c r="G225" s="3">
        <v>1</v>
      </c>
      <c r="L225" s="3" t="s">
        <v>30</v>
      </c>
      <c r="M225" s="3">
        <v>9</v>
      </c>
      <c r="N225" s="3">
        <v>1</v>
      </c>
      <c r="O225" s="3">
        <v>1</v>
      </c>
      <c r="P225" s="3" t="s">
        <v>31</v>
      </c>
      <c r="Q225" s="3">
        <v>2</v>
      </c>
      <c r="R225" s="3">
        <v>1</v>
      </c>
      <c r="S225" s="3">
        <v>1</v>
      </c>
      <c r="T225" s="3" t="s">
        <v>32</v>
      </c>
      <c r="U225" s="16" t="s">
        <v>54</v>
      </c>
      <c r="V225" s="3">
        <v>1</v>
      </c>
      <c r="W225" s="3">
        <v>1</v>
      </c>
      <c r="AB225" s="3" t="s">
        <v>137</v>
      </c>
      <c r="AC225" s="3">
        <v>90</v>
      </c>
      <c r="AD225" s="3">
        <v>1</v>
      </c>
      <c r="AE225" s="3">
        <v>1</v>
      </c>
    </row>
    <row r="226" spans="1:51" s="3" customFormat="1" x14ac:dyDescent="0.25">
      <c r="A226" s="3" t="str">
        <f t="shared" si="12"/>
        <v>شلنگ های لاستیک آب قطر102 ضخامت 9 2لایه 90سانتی متر</v>
      </c>
      <c r="B226" s="3">
        <v>1</v>
      </c>
      <c r="C226" s="3" t="s">
        <v>138</v>
      </c>
      <c r="D226" s="3" t="s">
        <v>28</v>
      </c>
      <c r="E226" s="3">
        <v>102</v>
      </c>
      <c r="F226" s="3">
        <v>1</v>
      </c>
      <c r="G226" s="3">
        <v>1</v>
      </c>
      <c r="L226" s="3" t="s">
        <v>30</v>
      </c>
      <c r="M226" s="3">
        <v>9</v>
      </c>
      <c r="N226" s="3">
        <v>1</v>
      </c>
      <c r="O226" s="3">
        <v>1</v>
      </c>
      <c r="P226" s="3" t="s">
        <v>31</v>
      </c>
      <c r="Q226" s="3">
        <v>2</v>
      </c>
      <c r="R226" s="3">
        <v>1</v>
      </c>
      <c r="S226" s="3">
        <v>1</v>
      </c>
      <c r="T226" s="3" t="s">
        <v>32</v>
      </c>
      <c r="U226" s="16" t="s">
        <v>54</v>
      </c>
      <c r="V226" s="3">
        <v>1</v>
      </c>
      <c r="W226" s="3">
        <v>1</v>
      </c>
      <c r="AB226" s="3" t="s">
        <v>137</v>
      </c>
      <c r="AC226" s="3">
        <v>90</v>
      </c>
      <c r="AD226" s="3">
        <v>1</v>
      </c>
      <c r="AE226" s="3">
        <v>1</v>
      </c>
    </row>
    <row r="227" spans="1:51" s="3" customFormat="1" x14ac:dyDescent="0.25">
      <c r="A227" s="3" t="str">
        <f t="shared" si="12"/>
        <v>شلنگ های لاستیک آب قطر114 ضخامت 10 2لایه 90سانتی متر</v>
      </c>
      <c r="B227" s="3">
        <v>1</v>
      </c>
      <c r="C227" s="3" t="s">
        <v>138</v>
      </c>
      <c r="D227" s="3" t="s">
        <v>28</v>
      </c>
      <c r="E227" s="3">
        <v>114</v>
      </c>
      <c r="F227" s="3">
        <v>1</v>
      </c>
      <c r="G227" s="3">
        <v>1</v>
      </c>
      <c r="L227" s="3" t="s">
        <v>30</v>
      </c>
      <c r="M227" s="3">
        <v>10</v>
      </c>
      <c r="N227" s="3">
        <v>1</v>
      </c>
      <c r="O227" s="3">
        <v>1</v>
      </c>
      <c r="P227" s="3" t="s">
        <v>31</v>
      </c>
      <c r="Q227" s="3">
        <v>2</v>
      </c>
      <c r="R227" s="3">
        <v>1</v>
      </c>
      <c r="S227" s="3">
        <v>1</v>
      </c>
      <c r="T227" s="3" t="s">
        <v>32</v>
      </c>
      <c r="U227" s="16" t="s">
        <v>54</v>
      </c>
      <c r="V227" s="3">
        <v>1</v>
      </c>
      <c r="W227" s="3">
        <v>1</v>
      </c>
      <c r="AB227" s="3" t="s">
        <v>137</v>
      </c>
      <c r="AC227" s="3">
        <v>90</v>
      </c>
      <c r="AD227" s="3">
        <v>1</v>
      </c>
      <c r="AE227" s="3">
        <v>1</v>
      </c>
    </row>
    <row r="228" spans="1:51" s="3" customFormat="1" x14ac:dyDescent="0.25">
      <c r="A228" s="3" t="str">
        <f t="shared" si="12"/>
        <v>شلنگ های لاستیک آب قطر125 ضخامت 10 2لایه 90سانتی متر</v>
      </c>
      <c r="B228" s="3">
        <v>1</v>
      </c>
      <c r="C228" s="3" t="s">
        <v>138</v>
      </c>
      <c r="D228" s="3" t="s">
        <v>28</v>
      </c>
      <c r="E228" s="3">
        <v>125</v>
      </c>
      <c r="F228" s="3">
        <v>1</v>
      </c>
      <c r="G228" s="3">
        <v>1</v>
      </c>
      <c r="L228" s="3" t="s">
        <v>30</v>
      </c>
      <c r="M228" s="3">
        <v>10</v>
      </c>
      <c r="N228" s="3">
        <v>1</v>
      </c>
      <c r="O228" s="3">
        <v>1</v>
      </c>
      <c r="P228" s="3" t="s">
        <v>31</v>
      </c>
      <c r="Q228" s="3">
        <v>2</v>
      </c>
      <c r="R228" s="3">
        <v>1</v>
      </c>
      <c r="S228" s="3">
        <v>1</v>
      </c>
      <c r="T228" s="3" t="s">
        <v>32</v>
      </c>
      <c r="U228" s="16" t="s">
        <v>54</v>
      </c>
      <c r="V228" s="3">
        <v>1</v>
      </c>
      <c r="W228" s="3">
        <v>1</v>
      </c>
      <c r="AB228" s="3" t="s">
        <v>137</v>
      </c>
      <c r="AC228" s="3">
        <v>90</v>
      </c>
      <c r="AD228" s="3">
        <v>1</v>
      </c>
      <c r="AE228" s="3">
        <v>1</v>
      </c>
    </row>
    <row r="229" spans="1:51" s="17" customFormat="1" x14ac:dyDescent="0.25">
      <c r="A229" s="17" t="str">
        <f>"شلنگ باد ناجین" &amp;" " &amp;"ضخامت "&amp; M229 &amp;" "&amp; AC229 &amp; "متری"</f>
        <v>شلنگ باد ناجین ضخامت 1 50متری</v>
      </c>
      <c r="B229" s="17">
        <v>1</v>
      </c>
      <c r="C229" s="17" t="s">
        <v>139</v>
      </c>
      <c r="L229" s="17" t="s">
        <v>30</v>
      </c>
      <c r="M229" s="17">
        <v>1</v>
      </c>
      <c r="N229" s="17">
        <v>1</v>
      </c>
      <c r="O229" s="17">
        <v>1</v>
      </c>
      <c r="T229" s="17" t="s">
        <v>32</v>
      </c>
      <c r="U229" s="18" t="s">
        <v>140</v>
      </c>
      <c r="V229" s="17">
        <v>1</v>
      </c>
      <c r="W229" s="17">
        <v>1</v>
      </c>
      <c r="X229" s="17" t="s">
        <v>34</v>
      </c>
      <c r="Y229" s="17" t="s">
        <v>141</v>
      </c>
      <c r="Z229" s="17">
        <v>1</v>
      </c>
      <c r="AA229" s="17">
        <v>1</v>
      </c>
      <c r="AB229" s="17" t="s">
        <v>115</v>
      </c>
      <c r="AC229" s="17">
        <v>50</v>
      </c>
      <c r="AD229" s="17">
        <v>1</v>
      </c>
      <c r="AE229" s="17">
        <v>1</v>
      </c>
      <c r="AN229" s="17" t="s">
        <v>127</v>
      </c>
      <c r="AO229" s="17">
        <v>6</v>
      </c>
      <c r="AP229" s="17">
        <v>1</v>
      </c>
      <c r="AQ229" s="17">
        <v>1</v>
      </c>
      <c r="AV229" s="17" t="s">
        <v>146</v>
      </c>
      <c r="AW229" s="17">
        <v>20</v>
      </c>
      <c r="AX229" s="17">
        <v>1</v>
      </c>
      <c r="AY229" s="17">
        <v>1</v>
      </c>
    </row>
    <row r="230" spans="1:51" s="17" customFormat="1" x14ac:dyDescent="0.25">
      <c r="A230" s="17" t="str">
        <f t="shared" ref="A230:A233" si="13">"شلنگ باد ناجین" &amp;" " &amp;"ضخامت "&amp; M230 &amp;" "&amp; AC230 &amp; "متری"</f>
        <v>شلنگ باد ناجین ضخامت 1 50متری</v>
      </c>
      <c r="B230" s="17">
        <v>1</v>
      </c>
      <c r="C230" s="17" t="s">
        <v>139</v>
      </c>
      <c r="L230" s="17" t="s">
        <v>30</v>
      </c>
      <c r="M230" s="17">
        <v>1</v>
      </c>
      <c r="N230" s="17">
        <v>1</v>
      </c>
      <c r="O230" s="17">
        <v>1</v>
      </c>
      <c r="T230" s="17" t="s">
        <v>32</v>
      </c>
      <c r="U230" s="18" t="s">
        <v>140</v>
      </c>
      <c r="V230" s="17">
        <v>1</v>
      </c>
      <c r="W230" s="17">
        <v>1</v>
      </c>
      <c r="X230" s="17" t="s">
        <v>34</v>
      </c>
      <c r="Y230" s="17" t="s">
        <v>141</v>
      </c>
      <c r="Z230" s="17">
        <v>1</v>
      </c>
      <c r="AA230" s="17">
        <v>1</v>
      </c>
      <c r="AB230" s="17" t="s">
        <v>115</v>
      </c>
      <c r="AC230" s="17">
        <v>50</v>
      </c>
      <c r="AD230" s="17">
        <v>1</v>
      </c>
      <c r="AE230" s="17">
        <v>1</v>
      </c>
      <c r="AN230" s="17" t="s">
        <v>127</v>
      </c>
      <c r="AO230" s="17">
        <v>8</v>
      </c>
      <c r="AP230" s="17">
        <v>1</v>
      </c>
      <c r="AQ230" s="17">
        <v>1</v>
      </c>
      <c r="AV230" s="17" t="s">
        <v>146</v>
      </c>
      <c r="AW230" s="17">
        <v>20</v>
      </c>
      <c r="AX230" s="17">
        <v>1</v>
      </c>
      <c r="AY230" s="17">
        <v>1</v>
      </c>
    </row>
    <row r="231" spans="1:51" s="17" customFormat="1" x14ac:dyDescent="0.25">
      <c r="A231" s="17" t="str">
        <f t="shared" si="13"/>
        <v>شلنگ باد ناجین ضخامت 1.25 50متری</v>
      </c>
      <c r="B231" s="17">
        <v>1</v>
      </c>
      <c r="C231" s="17" t="s">
        <v>139</v>
      </c>
      <c r="L231" s="17" t="s">
        <v>30</v>
      </c>
      <c r="M231" s="17">
        <v>1.25</v>
      </c>
      <c r="N231" s="17">
        <v>1</v>
      </c>
      <c r="O231" s="17">
        <v>1</v>
      </c>
      <c r="T231" s="17" t="s">
        <v>32</v>
      </c>
      <c r="U231" s="18" t="s">
        <v>140</v>
      </c>
      <c r="V231" s="17">
        <v>1</v>
      </c>
      <c r="W231" s="17">
        <v>1</v>
      </c>
      <c r="X231" s="17" t="s">
        <v>34</v>
      </c>
      <c r="Y231" s="17" t="s">
        <v>141</v>
      </c>
      <c r="Z231" s="17">
        <v>1</v>
      </c>
      <c r="AA231" s="17">
        <v>1</v>
      </c>
      <c r="AB231" s="17" t="s">
        <v>115</v>
      </c>
      <c r="AC231" s="17">
        <v>50</v>
      </c>
      <c r="AD231" s="17">
        <v>1</v>
      </c>
      <c r="AE231" s="17">
        <v>1</v>
      </c>
      <c r="AN231" s="17" t="s">
        <v>127</v>
      </c>
      <c r="AO231" s="17">
        <v>10</v>
      </c>
      <c r="AP231" s="17">
        <v>1</v>
      </c>
      <c r="AQ231" s="17">
        <v>1</v>
      </c>
      <c r="AV231" s="17" t="s">
        <v>146</v>
      </c>
      <c r="AW231" s="17">
        <v>20</v>
      </c>
      <c r="AX231" s="17">
        <v>1</v>
      </c>
      <c r="AY231" s="17">
        <v>1</v>
      </c>
    </row>
    <row r="232" spans="1:51" s="17" customFormat="1" x14ac:dyDescent="0.25">
      <c r="A232" s="17" t="str">
        <f t="shared" si="13"/>
        <v>شلنگ باد ناجین ضخامت 1.5 50متری</v>
      </c>
      <c r="B232" s="17">
        <v>1</v>
      </c>
      <c r="C232" s="17" t="s">
        <v>139</v>
      </c>
      <c r="L232" s="17" t="s">
        <v>30</v>
      </c>
      <c r="M232" s="17">
        <v>1.5</v>
      </c>
      <c r="N232" s="17">
        <v>1</v>
      </c>
      <c r="O232" s="17">
        <v>1</v>
      </c>
      <c r="T232" s="17" t="s">
        <v>32</v>
      </c>
      <c r="U232" s="18" t="s">
        <v>140</v>
      </c>
      <c r="V232" s="17">
        <v>1</v>
      </c>
      <c r="W232" s="17">
        <v>1</v>
      </c>
      <c r="X232" s="17" t="s">
        <v>34</v>
      </c>
      <c r="Y232" s="17" t="s">
        <v>141</v>
      </c>
      <c r="Z232" s="17">
        <v>1</v>
      </c>
      <c r="AA232" s="17">
        <v>1</v>
      </c>
      <c r="AB232" s="17" t="s">
        <v>115</v>
      </c>
      <c r="AC232" s="17">
        <v>50</v>
      </c>
      <c r="AD232" s="17">
        <v>1</v>
      </c>
      <c r="AE232" s="17">
        <v>1</v>
      </c>
      <c r="AN232" s="17" t="s">
        <v>127</v>
      </c>
      <c r="AO232" s="17">
        <v>12</v>
      </c>
      <c r="AP232" s="17">
        <v>1</v>
      </c>
      <c r="AQ232" s="17">
        <v>1</v>
      </c>
      <c r="AV232" s="17" t="s">
        <v>146</v>
      </c>
      <c r="AW232" s="17">
        <v>20</v>
      </c>
      <c r="AX232" s="17">
        <v>1</v>
      </c>
      <c r="AY232" s="17">
        <v>1</v>
      </c>
    </row>
    <row r="233" spans="1:51" s="17" customFormat="1" x14ac:dyDescent="0.25">
      <c r="A233" s="17" t="str">
        <f t="shared" si="13"/>
        <v>شلنگ باد ناجین ضخامت 1.5 50متری</v>
      </c>
      <c r="B233" s="17">
        <v>1</v>
      </c>
      <c r="C233" s="17" t="s">
        <v>139</v>
      </c>
      <c r="L233" s="17" t="s">
        <v>30</v>
      </c>
      <c r="M233" s="17">
        <v>1.5</v>
      </c>
      <c r="N233" s="17">
        <v>1</v>
      </c>
      <c r="O233" s="17">
        <v>1</v>
      </c>
      <c r="T233" s="17" t="s">
        <v>32</v>
      </c>
      <c r="U233" s="18" t="s">
        <v>140</v>
      </c>
      <c r="V233" s="17">
        <v>1</v>
      </c>
      <c r="W233" s="17">
        <v>1</v>
      </c>
      <c r="X233" s="17" t="s">
        <v>34</v>
      </c>
      <c r="Y233" s="17" t="s">
        <v>141</v>
      </c>
      <c r="Z233" s="17">
        <v>1</v>
      </c>
      <c r="AA233" s="17">
        <v>1</v>
      </c>
      <c r="AB233" s="17" t="s">
        <v>115</v>
      </c>
      <c r="AC233" s="17">
        <v>50</v>
      </c>
      <c r="AD233" s="17">
        <v>1</v>
      </c>
      <c r="AE233" s="17">
        <v>1</v>
      </c>
      <c r="AN233" s="17" t="s">
        <v>127</v>
      </c>
      <c r="AO233" s="17">
        <v>14</v>
      </c>
      <c r="AP233" s="17">
        <v>1</v>
      </c>
      <c r="AQ233" s="17">
        <v>1</v>
      </c>
      <c r="AV233" s="17" t="s">
        <v>146</v>
      </c>
      <c r="AW233" s="17">
        <v>20</v>
      </c>
      <c r="AX233" s="17">
        <v>1</v>
      </c>
      <c r="AY233" s="17">
        <v>1</v>
      </c>
    </row>
    <row r="234" spans="1:51" s="9" customFormat="1" x14ac:dyDescent="0.25">
      <c r="A234" s="9" t="str">
        <f>"شلنگ های بخاری سیلیکونی" &amp;" " &amp;"قطر"&amp; E234 &amp;" "&amp; "ضخامت "&amp; M234 &amp;" "&amp;Q234 &amp; "لایه"&amp;" "&amp; AC234 &amp;"متری"</f>
        <v>شلنگ های بخاری سیلیکونی قطر6 ضخامت 3 1لایه 20متری</v>
      </c>
      <c r="B234" s="9">
        <v>1</v>
      </c>
      <c r="C234" s="9" t="s">
        <v>147</v>
      </c>
      <c r="D234" s="9" t="s">
        <v>28</v>
      </c>
      <c r="E234" s="9">
        <v>6</v>
      </c>
      <c r="F234" s="9">
        <v>1</v>
      </c>
      <c r="G234" s="9">
        <v>1</v>
      </c>
      <c r="L234" s="9" t="s">
        <v>30</v>
      </c>
      <c r="M234" s="9">
        <v>3</v>
      </c>
      <c r="N234" s="9">
        <v>1</v>
      </c>
      <c r="O234" s="9">
        <v>1</v>
      </c>
      <c r="P234" s="9" t="s">
        <v>31</v>
      </c>
      <c r="Q234" s="9">
        <v>1</v>
      </c>
      <c r="R234" s="9">
        <v>1</v>
      </c>
      <c r="S234" s="9">
        <v>1</v>
      </c>
      <c r="T234" s="9" t="s">
        <v>32</v>
      </c>
      <c r="U234" s="15" t="s">
        <v>108</v>
      </c>
      <c r="V234" s="9">
        <v>1</v>
      </c>
      <c r="W234" s="9">
        <v>1</v>
      </c>
      <c r="X234" s="9" t="s">
        <v>34</v>
      </c>
      <c r="Y234" s="9" t="s">
        <v>148</v>
      </c>
      <c r="Z234" s="9">
        <v>1</v>
      </c>
      <c r="AA234" s="9">
        <v>1</v>
      </c>
      <c r="AB234" s="9" t="s">
        <v>115</v>
      </c>
      <c r="AC234" s="9">
        <v>20</v>
      </c>
      <c r="AD234" s="9">
        <v>1</v>
      </c>
      <c r="AE234" s="9">
        <v>1</v>
      </c>
      <c r="AV234" s="9" t="s">
        <v>146</v>
      </c>
      <c r="AW234" s="9">
        <v>10</v>
      </c>
      <c r="AX234" s="9">
        <v>1</v>
      </c>
      <c r="AY234" s="9">
        <v>1</v>
      </c>
    </row>
    <row r="235" spans="1:51" s="9" customFormat="1" x14ac:dyDescent="0.25">
      <c r="A235" s="9" t="str">
        <f t="shared" ref="A235:A246" si="14">"شلنگ های بخاری سیلیکونی" &amp;" " &amp;"قطر"&amp; E235 &amp;" "&amp; "ضخامت "&amp; M235 &amp;" "&amp;Q235 &amp; "لایه"&amp;" "&amp; AC235 &amp;"متری"</f>
        <v>شلنگ های بخاری سیلیکونی قطر8 ضخامت 4 2لایه 20متری</v>
      </c>
      <c r="B235" s="9">
        <v>1</v>
      </c>
      <c r="C235" s="9" t="s">
        <v>147</v>
      </c>
      <c r="D235" s="9" t="s">
        <v>28</v>
      </c>
      <c r="E235" s="9">
        <v>8</v>
      </c>
      <c r="F235" s="9">
        <v>1</v>
      </c>
      <c r="G235" s="9">
        <v>1</v>
      </c>
      <c r="L235" s="9" t="s">
        <v>30</v>
      </c>
      <c r="M235" s="9">
        <v>4</v>
      </c>
      <c r="N235" s="9">
        <v>1</v>
      </c>
      <c r="O235" s="9">
        <v>1</v>
      </c>
      <c r="P235" s="9" t="s">
        <v>31</v>
      </c>
      <c r="Q235" s="9">
        <v>2</v>
      </c>
      <c r="R235" s="9">
        <v>1</v>
      </c>
      <c r="S235" s="9">
        <v>1</v>
      </c>
      <c r="T235" s="9" t="s">
        <v>32</v>
      </c>
      <c r="U235" s="15" t="s">
        <v>108</v>
      </c>
      <c r="V235" s="9">
        <v>1</v>
      </c>
      <c r="W235" s="9">
        <v>1</v>
      </c>
      <c r="X235" s="9" t="s">
        <v>34</v>
      </c>
      <c r="Y235" s="9" t="s">
        <v>148</v>
      </c>
      <c r="Z235" s="9">
        <v>1</v>
      </c>
      <c r="AA235" s="9">
        <v>1</v>
      </c>
      <c r="AB235" s="9" t="s">
        <v>115</v>
      </c>
      <c r="AC235" s="9">
        <v>20</v>
      </c>
      <c r="AD235" s="9">
        <v>1</v>
      </c>
      <c r="AE235" s="9">
        <v>1</v>
      </c>
      <c r="AV235" s="9" t="s">
        <v>146</v>
      </c>
      <c r="AW235" s="9">
        <v>10</v>
      </c>
      <c r="AX235" s="9">
        <v>1</v>
      </c>
      <c r="AY235" s="9">
        <v>1</v>
      </c>
    </row>
    <row r="236" spans="1:51" s="9" customFormat="1" x14ac:dyDescent="0.25">
      <c r="A236" s="9" t="str">
        <f t="shared" si="14"/>
        <v>شلنگ های بخاری سیلیکونی قطر10 ضخامت 4 2لایه 20متری</v>
      </c>
      <c r="B236" s="9">
        <v>1</v>
      </c>
      <c r="C236" s="9" t="s">
        <v>147</v>
      </c>
      <c r="D236" s="9" t="s">
        <v>28</v>
      </c>
      <c r="E236" s="9">
        <v>10</v>
      </c>
      <c r="F236" s="9">
        <v>1</v>
      </c>
      <c r="G236" s="9">
        <v>1</v>
      </c>
      <c r="L236" s="9" t="s">
        <v>30</v>
      </c>
      <c r="M236" s="9">
        <v>4</v>
      </c>
      <c r="N236" s="9">
        <v>1</v>
      </c>
      <c r="O236" s="9">
        <v>1</v>
      </c>
      <c r="P236" s="9" t="s">
        <v>31</v>
      </c>
      <c r="Q236" s="9">
        <v>2</v>
      </c>
      <c r="R236" s="9">
        <v>1</v>
      </c>
      <c r="S236" s="9">
        <v>1</v>
      </c>
      <c r="T236" s="9" t="s">
        <v>32</v>
      </c>
      <c r="U236" s="15" t="s">
        <v>108</v>
      </c>
      <c r="V236" s="9">
        <v>1</v>
      </c>
      <c r="W236" s="9">
        <v>1</v>
      </c>
      <c r="X236" s="9" t="s">
        <v>34</v>
      </c>
      <c r="Y236" s="9" t="s">
        <v>148</v>
      </c>
      <c r="Z236" s="9">
        <v>1</v>
      </c>
      <c r="AA236" s="9">
        <v>1</v>
      </c>
      <c r="AB236" s="9" t="s">
        <v>115</v>
      </c>
      <c r="AC236" s="9">
        <v>20</v>
      </c>
      <c r="AD236" s="9">
        <v>1</v>
      </c>
      <c r="AE236" s="9">
        <v>1</v>
      </c>
      <c r="AV236" s="9" t="s">
        <v>146</v>
      </c>
      <c r="AW236" s="9">
        <v>10</v>
      </c>
      <c r="AX236" s="9">
        <v>1</v>
      </c>
      <c r="AY236" s="9">
        <v>1</v>
      </c>
    </row>
    <row r="237" spans="1:51" s="9" customFormat="1" x14ac:dyDescent="0.25">
      <c r="A237" s="9" t="str">
        <f t="shared" si="14"/>
        <v>شلنگ های بخاری سیلیکونی قطر12 ضخامت 4 2لایه 20متری</v>
      </c>
      <c r="B237" s="9">
        <v>1</v>
      </c>
      <c r="C237" s="9" t="s">
        <v>147</v>
      </c>
      <c r="D237" s="9" t="s">
        <v>28</v>
      </c>
      <c r="E237" s="9">
        <v>12</v>
      </c>
      <c r="F237" s="9">
        <v>1</v>
      </c>
      <c r="G237" s="9">
        <v>1</v>
      </c>
      <c r="L237" s="9" t="s">
        <v>30</v>
      </c>
      <c r="M237" s="9">
        <v>4</v>
      </c>
      <c r="N237" s="9">
        <v>1</v>
      </c>
      <c r="O237" s="9">
        <v>1</v>
      </c>
      <c r="P237" s="9" t="s">
        <v>31</v>
      </c>
      <c r="Q237" s="9">
        <v>2</v>
      </c>
      <c r="R237" s="9">
        <v>1</v>
      </c>
      <c r="S237" s="9">
        <v>1</v>
      </c>
      <c r="T237" s="9" t="s">
        <v>32</v>
      </c>
      <c r="U237" s="15" t="s">
        <v>108</v>
      </c>
      <c r="V237" s="9">
        <v>1</v>
      </c>
      <c r="W237" s="9">
        <v>1</v>
      </c>
      <c r="X237" s="9" t="s">
        <v>34</v>
      </c>
      <c r="Y237" s="9" t="s">
        <v>148</v>
      </c>
      <c r="Z237" s="9">
        <v>1</v>
      </c>
      <c r="AA237" s="9">
        <v>1</v>
      </c>
      <c r="AB237" s="9" t="s">
        <v>115</v>
      </c>
      <c r="AC237" s="9">
        <v>20</v>
      </c>
      <c r="AD237" s="9">
        <v>1</v>
      </c>
      <c r="AE237" s="9">
        <v>1</v>
      </c>
      <c r="AV237" s="9" t="s">
        <v>146</v>
      </c>
      <c r="AW237" s="9">
        <v>10</v>
      </c>
      <c r="AX237" s="9">
        <v>1</v>
      </c>
      <c r="AY237" s="9">
        <v>1</v>
      </c>
    </row>
    <row r="238" spans="1:51" s="9" customFormat="1" x14ac:dyDescent="0.25">
      <c r="A238" s="9" t="str">
        <f t="shared" si="14"/>
        <v>شلنگ های بخاری سیلیکونی قطر14 ضخامت 4 2لایه 20متری</v>
      </c>
      <c r="B238" s="9">
        <v>1</v>
      </c>
      <c r="C238" s="9" t="s">
        <v>147</v>
      </c>
      <c r="D238" s="9" t="s">
        <v>28</v>
      </c>
      <c r="E238" s="9">
        <v>14</v>
      </c>
      <c r="F238" s="9">
        <v>1</v>
      </c>
      <c r="G238" s="9">
        <v>1</v>
      </c>
      <c r="L238" s="9" t="s">
        <v>30</v>
      </c>
      <c r="M238" s="9">
        <v>4</v>
      </c>
      <c r="N238" s="9">
        <v>1</v>
      </c>
      <c r="O238" s="9">
        <v>1</v>
      </c>
      <c r="P238" s="9" t="s">
        <v>31</v>
      </c>
      <c r="Q238" s="9">
        <v>2</v>
      </c>
      <c r="R238" s="9">
        <v>1</v>
      </c>
      <c r="S238" s="9">
        <v>1</v>
      </c>
      <c r="T238" s="9" t="s">
        <v>32</v>
      </c>
      <c r="U238" s="15" t="s">
        <v>108</v>
      </c>
      <c r="V238" s="9">
        <v>1</v>
      </c>
      <c r="W238" s="9">
        <v>1</v>
      </c>
      <c r="X238" s="9" t="s">
        <v>34</v>
      </c>
      <c r="Y238" s="9" t="s">
        <v>148</v>
      </c>
      <c r="Z238" s="9">
        <v>1</v>
      </c>
      <c r="AA238" s="9">
        <v>1</v>
      </c>
      <c r="AB238" s="9" t="s">
        <v>115</v>
      </c>
      <c r="AC238" s="9">
        <v>20</v>
      </c>
      <c r="AD238" s="9">
        <v>1</v>
      </c>
      <c r="AE238" s="9">
        <v>1</v>
      </c>
      <c r="AV238" s="9" t="s">
        <v>146</v>
      </c>
      <c r="AW238" s="9">
        <v>10</v>
      </c>
      <c r="AX238" s="9">
        <v>1</v>
      </c>
      <c r="AY238" s="9">
        <v>1</v>
      </c>
    </row>
    <row r="239" spans="1:51" s="9" customFormat="1" x14ac:dyDescent="0.25">
      <c r="A239" s="9" t="str">
        <f t="shared" si="14"/>
        <v>شلنگ های بخاری سیلیکونی قطر16 ضخامت 4 2لایه 20متری</v>
      </c>
      <c r="B239" s="9">
        <v>1</v>
      </c>
      <c r="C239" s="9" t="s">
        <v>147</v>
      </c>
      <c r="D239" s="9" t="s">
        <v>28</v>
      </c>
      <c r="E239" s="9">
        <v>16</v>
      </c>
      <c r="F239" s="9">
        <v>1</v>
      </c>
      <c r="G239" s="9">
        <v>1</v>
      </c>
      <c r="L239" s="9" t="s">
        <v>30</v>
      </c>
      <c r="M239" s="9">
        <v>4</v>
      </c>
      <c r="N239" s="9">
        <v>1</v>
      </c>
      <c r="O239" s="9">
        <v>1</v>
      </c>
      <c r="P239" s="9" t="s">
        <v>31</v>
      </c>
      <c r="Q239" s="9">
        <v>2</v>
      </c>
      <c r="R239" s="9">
        <v>1</v>
      </c>
      <c r="S239" s="9">
        <v>1</v>
      </c>
      <c r="T239" s="9" t="s">
        <v>32</v>
      </c>
      <c r="U239" s="15" t="s">
        <v>108</v>
      </c>
      <c r="V239" s="9">
        <v>1</v>
      </c>
      <c r="W239" s="9">
        <v>1</v>
      </c>
      <c r="X239" s="9" t="s">
        <v>34</v>
      </c>
      <c r="Y239" s="9" t="s">
        <v>148</v>
      </c>
      <c r="Z239" s="9">
        <v>1</v>
      </c>
      <c r="AA239" s="9">
        <v>1</v>
      </c>
      <c r="AB239" s="9" t="s">
        <v>115</v>
      </c>
      <c r="AC239" s="9">
        <v>20</v>
      </c>
      <c r="AD239" s="9">
        <v>1</v>
      </c>
      <c r="AE239" s="9">
        <v>1</v>
      </c>
      <c r="AV239" s="9" t="s">
        <v>146</v>
      </c>
      <c r="AW239" s="9">
        <v>10</v>
      </c>
      <c r="AX239" s="9">
        <v>1</v>
      </c>
      <c r="AY239" s="9">
        <v>1</v>
      </c>
    </row>
    <row r="240" spans="1:51" s="9" customFormat="1" x14ac:dyDescent="0.25">
      <c r="A240" s="9" t="str">
        <f t="shared" si="14"/>
        <v>شلنگ های بخاری سیلیکونی قطر18 ضخامت 4 2لایه 20متری</v>
      </c>
      <c r="B240" s="9">
        <v>1</v>
      </c>
      <c r="C240" s="9" t="s">
        <v>147</v>
      </c>
      <c r="D240" s="9" t="s">
        <v>28</v>
      </c>
      <c r="E240" s="9">
        <v>18</v>
      </c>
      <c r="F240" s="9">
        <v>1</v>
      </c>
      <c r="G240" s="9">
        <v>1</v>
      </c>
      <c r="L240" s="9" t="s">
        <v>30</v>
      </c>
      <c r="M240" s="9">
        <v>4</v>
      </c>
      <c r="N240" s="9">
        <v>1</v>
      </c>
      <c r="O240" s="9">
        <v>1</v>
      </c>
      <c r="P240" s="9" t="s">
        <v>31</v>
      </c>
      <c r="Q240" s="9">
        <v>2</v>
      </c>
      <c r="R240" s="9">
        <v>1</v>
      </c>
      <c r="S240" s="9">
        <v>1</v>
      </c>
      <c r="T240" s="9" t="s">
        <v>32</v>
      </c>
      <c r="U240" s="15" t="s">
        <v>108</v>
      </c>
      <c r="V240" s="9">
        <v>1</v>
      </c>
      <c r="W240" s="9">
        <v>1</v>
      </c>
      <c r="X240" s="9" t="s">
        <v>34</v>
      </c>
      <c r="Y240" s="9" t="s">
        <v>148</v>
      </c>
      <c r="Z240" s="9">
        <v>1</v>
      </c>
      <c r="AA240" s="9">
        <v>1</v>
      </c>
      <c r="AB240" s="9" t="s">
        <v>115</v>
      </c>
      <c r="AC240" s="9">
        <v>20</v>
      </c>
      <c r="AD240" s="9">
        <v>1</v>
      </c>
      <c r="AE240" s="9">
        <v>1</v>
      </c>
      <c r="AV240" s="9" t="s">
        <v>146</v>
      </c>
      <c r="AW240" s="9">
        <v>10</v>
      </c>
      <c r="AX240" s="9">
        <v>1</v>
      </c>
      <c r="AY240" s="9">
        <v>1</v>
      </c>
    </row>
    <row r="241" spans="1:56" s="9" customFormat="1" x14ac:dyDescent="0.25">
      <c r="A241" s="9" t="str">
        <f t="shared" si="14"/>
        <v>شلنگ های بخاری سیلیکونی قطر20 ضخامت 4 2لایه 20متری</v>
      </c>
      <c r="B241" s="9">
        <v>1</v>
      </c>
      <c r="C241" s="9" t="s">
        <v>147</v>
      </c>
      <c r="D241" s="9" t="s">
        <v>28</v>
      </c>
      <c r="E241" s="9">
        <v>20</v>
      </c>
      <c r="F241" s="9">
        <v>1</v>
      </c>
      <c r="G241" s="9">
        <v>1</v>
      </c>
      <c r="L241" s="9" t="s">
        <v>30</v>
      </c>
      <c r="M241" s="9">
        <v>4</v>
      </c>
      <c r="N241" s="9">
        <v>1</v>
      </c>
      <c r="O241" s="9">
        <v>1</v>
      </c>
      <c r="P241" s="9" t="s">
        <v>31</v>
      </c>
      <c r="Q241" s="9">
        <v>2</v>
      </c>
      <c r="R241" s="9">
        <v>1</v>
      </c>
      <c r="S241" s="9">
        <v>1</v>
      </c>
      <c r="T241" s="9" t="s">
        <v>32</v>
      </c>
      <c r="U241" s="15" t="s">
        <v>108</v>
      </c>
      <c r="V241" s="9">
        <v>1</v>
      </c>
      <c r="W241" s="9">
        <v>1</v>
      </c>
      <c r="X241" s="9" t="s">
        <v>34</v>
      </c>
      <c r="Y241" s="9" t="s">
        <v>148</v>
      </c>
      <c r="Z241" s="9">
        <v>1</v>
      </c>
      <c r="AA241" s="9">
        <v>1</v>
      </c>
      <c r="AB241" s="9" t="s">
        <v>115</v>
      </c>
      <c r="AC241" s="9">
        <v>20</v>
      </c>
      <c r="AD241" s="9">
        <v>1</v>
      </c>
      <c r="AE241" s="9">
        <v>1</v>
      </c>
      <c r="AV241" s="9" t="s">
        <v>146</v>
      </c>
      <c r="AW241" s="9">
        <v>10</v>
      </c>
      <c r="AX241" s="9">
        <v>1</v>
      </c>
      <c r="AY241" s="9">
        <v>1</v>
      </c>
    </row>
    <row r="242" spans="1:56" s="9" customFormat="1" x14ac:dyDescent="0.25">
      <c r="A242" s="9" t="str">
        <f t="shared" si="14"/>
        <v>شلنگ های بخاری سیلیکونی قطر22 ضخامت 4 2لایه 20متری</v>
      </c>
      <c r="B242" s="9">
        <v>1</v>
      </c>
      <c r="C242" s="9" t="s">
        <v>147</v>
      </c>
      <c r="D242" s="9" t="s">
        <v>28</v>
      </c>
      <c r="E242" s="9">
        <v>22</v>
      </c>
      <c r="F242" s="9">
        <v>1</v>
      </c>
      <c r="G242" s="9">
        <v>1</v>
      </c>
      <c r="L242" s="9" t="s">
        <v>30</v>
      </c>
      <c r="M242" s="9">
        <v>4</v>
      </c>
      <c r="N242" s="9">
        <v>1</v>
      </c>
      <c r="O242" s="9">
        <v>1</v>
      </c>
      <c r="P242" s="9" t="s">
        <v>31</v>
      </c>
      <c r="Q242" s="9">
        <v>2</v>
      </c>
      <c r="R242" s="9">
        <v>1</v>
      </c>
      <c r="S242" s="9">
        <v>1</v>
      </c>
      <c r="T242" s="9" t="s">
        <v>32</v>
      </c>
      <c r="U242" s="15" t="s">
        <v>108</v>
      </c>
      <c r="V242" s="9">
        <v>1</v>
      </c>
      <c r="W242" s="9">
        <v>1</v>
      </c>
      <c r="X242" s="9" t="s">
        <v>34</v>
      </c>
      <c r="Y242" s="9" t="s">
        <v>148</v>
      </c>
      <c r="Z242" s="9">
        <v>1</v>
      </c>
      <c r="AA242" s="9">
        <v>1</v>
      </c>
      <c r="AB242" s="9" t="s">
        <v>115</v>
      </c>
      <c r="AC242" s="9">
        <v>20</v>
      </c>
      <c r="AD242" s="9">
        <v>1</v>
      </c>
      <c r="AE242" s="9">
        <v>1</v>
      </c>
      <c r="AV242" s="9" t="s">
        <v>146</v>
      </c>
      <c r="AW242" s="9">
        <v>10</v>
      </c>
      <c r="AX242" s="9">
        <v>1</v>
      </c>
      <c r="AY242" s="9">
        <v>1</v>
      </c>
    </row>
    <row r="243" spans="1:56" s="9" customFormat="1" x14ac:dyDescent="0.25">
      <c r="A243" s="9" t="str">
        <f t="shared" si="14"/>
        <v>شلنگ های بخاری سیلیکونی قطر6 ضخامت 2 لایه 25متری</v>
      </c>
      <c r="B243" s="9">
        <v>1</v>
      </c>
      <c r="C243" s="9" t="s">
        <v>147</v>
      </c>
      <c r="D243" s="9" t="s">
        <v>28</v>
      </c>
      <c r="E243" s="9">
        <v>6</v>
      </c>
      <c r="F243" s="9">
        <v>1</v>
      </c>
      <c r="G243" s="9">
        <v>1</v>
      </c>
      <c r="L243" s="9" t="s">
        <v>30</v>
      </c>
      <c r="M243" s="9">
        <v>2</v>
      </c>
      <c r="N243" s="9">
        <v>1</v>
      </c>
      <c r="O243" s="9">
        <v>1</v>
      </c>
      <c r="T243" s="9" t="s">
        <v>32</v>
      </c>
      <c r="U243" s="15" t="s">
        <v>108</v>
      </c>
      <c r="V243" s="9">
        <v>1</v>
      </c>
      <c r="W243" s="9">
        <v>1</v>
      </c>
      <c r="X243" s="9" t="s">
        <v>34</v>
      </c>
      <c r="Y243" s="9" t="s">
        <v>148</v>
      </c>
      <c r="Z243" s="9">
        <v>1</v>
      </c>
      <c r="AA243" s="9">
        <v>1</v>
      </c>
      <c r="AB243" s="9" t="s">
        <v>115</v>
      </c>
      <c r="AC243" s="9">
        <v>25</v>
      </c>
      <c r="AD243" s="9">
        <v>1</v>
      </c>
      <c r="AE243" s="9">
        <v>1</v>
      </c>
      <c r="AV243" s="9" t="s">
        <v>146</v>
      </c>
      <c r="AW243" s="9">
        <v>2</v>
      </c>
      <c r="AX243" s="9">
        <v>1</v>
      </c>
      <c r="AY243" s="9">
        <v>1</v>
      </c>
    </row>
    <row r="244" spans="1:56" s="9" customFormat="1" x14ac:dyDescent="0.25">
      <c r="A244" s="9" t="str">
        <f t="shared" si="14"/>
        <v>شلنگ های بخاری سیلیکونی قطر8 ضخامت 2 لایه 25متری</v>
      </c>
      <c r="B244" s="9">
        <v>1</v>
      </c>
      <c r="C244" s="9" t="s">
        <v>147</v>
      </c>
      <c r="D244" s="9" t="s">
        <v>28</v>
      </c>
      <c r="E244" s="9">
        <v>8</v>
      </c>
      <c r="F244" s="9">
        <v>1</v>
      </c>
      <c r="G244" s="9">
        <v>1</v>
      </c>
      <c r="L244" s="9" t="s">
        <v>30</v>
      </c>
      <c r="M244" s="9">
        <v>2</v>
      </c>
      <c r="N244" s="9">
        <v>1</v>
      </c>
      <c r="O244" s="9">
        <v>1</v>
      </c>
      <c r="T244" s="9" t="s">
        <v>32</v>
      </c>
      <c r="U244" s="15" t="s">
        <v>108</v>
      </c>
      <c r="V244" s="9">
        <v>1</v>
      </c>
      <c r="W244" s="9">
        <v>1</v>
      </c>
      <c r="X244" s="9" t="s">
        <v>34</v>
      </c>
      <c r="Y244" s="9" t="s">
        <v>148</v>
      </c>
      <c r="Z244" s="9">
        <v>1</v>
      </c>
      <c r="AA244" s="9">
        <v>1</v>
      </c>
      <c r="AB244" s="9" t="s">
        <v>115</v>
      </c>
      <c r="AC244" s="9">
        <v>25</v>
      </c>
      <c r="AD244" s="9">
        <v>1</v>
      </c>
      <c r="AE244" s="9">
        <v>1</v>
      </c>
      <c r="AV244" s="9" t="s">
        <v>146</v>
      </c>
      <c r="AW244" s="9">
        <v>2</v>
      </c>
      <c r="AX244" s="9">
        <v>1</v>
      </c>
      <c r="AY244" s="9">
        <v>1</v>
      </c>
    </row>
    <row r="245" spans="1:56" s="9" customFormat="1" x14ac:dyDescent="0.25">
      <c r="A245" s="9" t="str">
        <f t="shared" si="14"/>
        <v>شلنگ های بخاری سیلیکونی قطر10 ضخامت 2.5 لایه 25متری</v>
      </c>
      <c r="B245" s="9">
        <v>1</v>
      </c>
      <c r="C245" s="9" t="s">
        <v>147</v>
      </c>
      <c r="D245" s="9" t="s">
        <v>28</v>
      </c>
      <c r="E245" s="9">
        <v>10</v>
      </c>
      <c r="F245" s="9">
        <v>1</v>
      </c>
      <c r="G245" s="9">
        <v>1</v>
      </c>
      <c r="L245" s="9" t="s">
        <v>30</v>
      </c>
      <c r="M245" s="9">
        <v>2.5</v>
      </c>
      <c r="N245" s="9">
        <v>1</v>
      </c>
      <c r="O245" s="9">
        <v>1</v>
      </c>
      <c r="T245" s="9" t="s">
        <v>32</v>
      </c>
      <c r="U245" s="15" t="s">
        <v>108</v>
      </c>
      <c r="V245" s="9">
        <v>1</v>
      </c>
      <c r="W245" s="9">
        <v>1</v>
      </c>
      <c r="X245" s="9" t="s">
        <v>34</v>
      </c>
      <c r="Y245" s="9" t="s">
        <v>148</v>
      </c>
      <c r="Z245" s="9">
        <v>1</v>
      </c>
      <c r="AA245" s="9">
        <v>1</v>
      </c>
      <c r="AB245" s="9" t="s">
        <v>115</v>
      </c>
      <c r="AC245" s="9">
        <v>25</v>
      </c>
      <c r="AD245" s="9">
        <v>1</v>
      </c>
      <c r="AE245" s="9">
        <v>1</v>
      </c>
      <c r="AV245" s="9" t="s">
        <v>146</v>
      </c>
      <c r="AW245" s="9">
        <v>2</v>
      </c>
      <c r="AX245" s="9">
        <v>1</v>
      </c>
      <c r="AY245" s="9">
        <v>1</v>
      </c>
    </row>
    <row r="246" spans="1:56" s="9" customFormat="1" x14ac:dyDescent="0.25">
      <c r="A246" s="9" t="str">
        <f t="shared" si="14"/>
        <v>شلنگ های بخاری سیلیکونی قطر12 ضخامت 2.5 لایه 25متری</v>
      </c>
      <c r="B246" s="9">
        <v>1</v>
      </c>
      <c r="C246" s="9" t="s">
        <v>147</v>
      </c>
      <c r="D246" s="9" t="s">
        <v>28</v>
      </c>
      <c r="E246" s="9">
        <v>12</v>
      </c>
      <c r="F246" s="9">
        <v>1</v>
      </c>
      <c r="G246" s="9">
        <v>1</v>
      </c>
      <c r="L246" s="9" t="s">
        <v>30</v>
      </c>
      <c r="M246" s="9">
        <v>2.5</v>
      </c>
      <c r="N246" s="9">
        <v>1</v>
      </c>
      <c r="O246" s="9">
        <v>1</v>
      </c>
      <c r="T246" s="9" t="s">
        <v>32</v>
      </c>
      <c r="U246" s="15" t="s">
        <v>108</v>
      </c>
      <c r="V246" s="9">
        <v>1</v>
      </c>
      <c r="W246" s="9">
        <v>1</v>
      </c>
      <c r="X246" s="9" t="s">
        <v>34</v>
      </c>
      <c r="Y246" s="9" t="s">
        <v>148</v>
      </c>
      <c r="Z246" s="9">
        <v>1</v>
      </c>
      <c r="AA246" s="9">
        <v>1</v>
      </c>
      <c r="AB246" s="9" t="s">
        <v>115</v>
      </c>
      <c r="AC246" s="9">
        <v>25</v>
      </c>
      <c r="AD246" s="9">
        <v>1</v>
      </c>
      <c r="AE246" s="9">
        <v>1</v>
      </c>
      <c r="AV246" s="9" t="s">
        <v>146</v>
      </c>
      <c r="AW246" s="9">
        <v>2</v>
      </c>
      <c r="AX246" s="9">
        <v>1</v>
      </c>
      <c r="AY246" s="9">
        <v>1</v>
      </c>
    </row>
    <row r="247" spans="1:56" s="4" customFormat="1" x14ac:dyDescent="0.25">
      <c r="A247" s="4" t="str">
        <f>"شلنگ های لاستیکی بخاری" &amp;" " &amp;"قطر"&amp; E247 &amp;" "&amp; "ضخامت "&amp; M247 &amp;" "&amp;Q247 &amp; "لایه"&amp;" "&amp; AC247 &amp;"متری"</f>
        <v>شلنگ های لاستیکی بخاری قطر6 ضخامت 3 1لایه 20متری</v>
      </c>
      <c r="B247" s="4">
        <v>1</v>
      </c>
      <c r="C247" s="4" t="s">
        <v>149</v>
      </c>
      <c r="D247" s="4" t="s">
        <v>28</v>
      </c>
      <c r="E247" s="4">
        <v>6</v>
      </c>
      <c r="F247" s="4">
        <v>1</v>
      </c>
      <c r="G247" s="4">
        <v>1</v>
      </c>
      <c r="L247" s="4" t="s">
        <v>30</v>
      </c>
      <c r="M247" s="4">
        <v>3</v>
      </c>
      <c r="N247" s="4">
        <v>1</v>
      </c>
      <c r="O247" s="4">
        <v>1</v>
      </c>
      <c r="P247" s="4" t="s">
        <v>31</v>
      </c>
      <c r="Q247" s="4">
        <v>1</v>
      </c>
      <c r="R247" s="4">
        <v>1</v>
      </c>
      <c r="S247" s="4">
        <v>1</v>
      </c>
      <c r="T247" s="4" t="s">
        <v>32</v>
      </c>
      <c r="U247" s="19" t="s">
        <v>150</v>
      </c>
      <c r="V247" s="4">
        <v>1</v>
      </c>
      <c r="W247" s="4">
        <v>1</v>
      </c>
      <c r="X247" s="4" t="s">
        <v>34</v>
      </c>
      <c r="Y247" s="4" t="s">
        <v>141</v>
      </c>
      <c r="Z247" s="4">
        <v>1</v>
      </c>
      <c r="AA247" s="4">
        <v>1</v>
      </c>
      <c r="AB247" s="4" t="s">
        <v>115</v>
      </c>
      <c r="AC247" s="4">
        <v>20</v>
      </c>
      <c r="AD247" s="4">
        <v>1</v>
      </c>
      <c r="AE247" s="4">
        <v>1</v>
      </c>
      <c r="AV247" s="4" t="s">
        <v>146</v>
      </c>
      <c r="AW247" s="4">
        <v>7</v>
      </c>
      <c r="AX247" s="4">
        <v>1</v>
      </c>
      <c r="AY247" s="4">
        <v>1</v>
      </c>
      <c r="AZ247" s="4" t="s">
        <v>155</v>
      </c>
      <c r="BA247" s="4" t="s">
        <v>156</v>
      </c>
      <c r="BB247" s="4">
        <v>1</v>
      </c>
      <c r="BC247" s="4">
        <v>1</v>
      </c>
    </row>
    <row r="248" spans="1:56" s="4" customFormat="1" x14ac:dyDescent="0.25">
      <c r="A248" s="4" t="str">
        <f t="shared" ref="A248:A255" si="15">"شلنگ های لاستیکی بخاری" &amp;" " &amp;"قطر"&amp; E248 &amp;" "&amp; "ضخامت "&amp; M248 &amp;" "&amp;Q248 &amp; "لایه"&amp;" "&amp; AC248 &amp;"متری"</f>
        <v>شلنگ های لاستیکی بخاری قطر8 ضخامت 4 1لایه 20متری</v>
      </c>
      <c r="B248" s="4">
        <v>1</v>
      </c>
      <c r="C248" s="4" t="s">
        <v>149</v>
      </c>
      <c r="D248" s="4" t="s">
        <v>28</v>
      </c>
      <c r="E248" s="4">
        <v>8</v>
      </c>
      <c r="F248" s="4">
        <v>1</v>
      </c>
      <c r="G248" s="4">
        <v>1</v>
      </c>
      <c r="L248" s="4" t="s">
        <v>30</v>
      </c>
      <c r="M248" s="4">
        <v>4</v>
      </c>
      <c r="N248" s="4">
        <v>1</v>
      </c>
      <c r="O248" s="4">
        <v>1</v>
      </c>
      <c r="P248" s="4" t="s">
        <v>31</v>
      </c>
      <c r="Q248" s="4">
        <v>1</v>
      </c>
      <c r="R248" s="4">
        <v>1</v>
      </c>
      <c r="S248" s="4">
        <v>1</v>
      </c>
      <c r="T248" s="4" t="s">
        <v>32</v>
      </c>
      <c r="U248" s="19" t="s">
        <v>150</v>
      </c>
      <c r="V248" s="4">
        <v>1</v>
      </c>
      <c r="W248" s="4">
        <v>1</v>
      </c>
      <c r="X248" s="4" t="s">
        <v>34</v>
      </c>
      <c r="Y248" s="4" t="s">
        <v>141</v>
      </c>
      <c r="Z248" s="4">
        <v>1</v>
      </c>
      <c r="AA248" s="4">
        <v>1</v>
      </c>
      <c r="AB248" s="4" t="s">
        <v>115</v>
      </c>
      <c r="AC248" s="4">
        <v>20</v>
      </c>
      <c r="AD248" s="4">
        <v>1</v>
      </c>
      <c r="AE248" s="4">
        <v>1</v>
      </c>
      <c r="AV248" s="4" t="s">
        <v>146</v>
      </c>
      <c r="AW248" s="4">
        <v>7</v>
      </c>
      <c r="AX248" s="4">
        <v>1</v>
      </c>
      <c r="AY248" s="4">
        <v>1</v>
      </c>
      <c r="AZ248" s="4" t="s">
        <v>155</v>
      </c>
      <c r="BA248" s="4" t="s">
        <v>156</v>
      </c>
      <c r="BB248" s="4">
        <v>1</v>
      </c>
      <c r="BC248" s="4">
        <v>1</v>
      </c>
    </row>
    <row r="249" spans="1:56" s="4" customFormat="1" x14ac:dyDescent="0.25">
      <c r="A249" s="4" t="str">
        <f t="shared" si="15"/>
        <v>شلنگ های لاستیکی بخاری قطر10 ضخامت 4 1لایه 20متری</v>
      </c>
      <c r="B249" s="4">
        <v>1</v>
      </c>
      <c r="C249" s="4" t="s">
        <v>149</v>
      </c>
      <c r="D249" s="4" t="s">
        <v>28</v>
      </c>
      <c r="E249" s="4">
        <v>10</v>
      </c>
      <c r="F249" s="4">
        <v>1</v>
      </c>
      <c r="G249" s="4">
        <v>1</v>
      </c>
      <c r="L249" s="4" t="s">
        <v>30</v>
      </c>
      <c r="M249" s="4">
        <v>4</v>
      </c>
      <c r="N249" s="4">
        <v>1</v>
      </c>
      <c r="O249" s="4">
        <v>1</v>
      </c>
      <c r="P249" s="4" t="s">
        <v>31</v>
      </c>
      <c r="Q249" s="4">
        <v>1</v>
      </c>
      <c r="R249" s="4">
        <v>1</v>
      </c>
      <c r="S249" s="4">
        <v>1</v>
      </c>
      <c r="T249" s="4" t="s">
        <v>32</v>
      </c>
      <c r="U249" s="19" t="s">
        <v>150</v>
      </c>
      <c r="V249" s="4">
        <v>1</v>
      </c>
      <c r="W249" s="4">
        <v>1</v>
      </c>
      <c r="X249" s="4" t="s">
        <v>34</v>
      </c>
      <c r="Y249" s="4" t="s">
        <v>141</v>
      </c>
      <c r="Z249" s="4">
        <v>1</v>
      </c>
      <c r="AA249" s="4">
        <v>1</v>
      </c>
      <c r="AB249" s="4" t="s">
        <v>115</v>
      </c>
      <c r="AC249" s="4">
        <v>20</v>
      </c>
      <c r="AD249" s="4">
        <v>1</v>
      </c>
      <c r="AE249" s="4">
        <v>1</v>
      </c>
      <c r="AV249" s="4" t="s">
        <v>146</v>
      </c>
      <c r="AW249" s="4">
        <v>7</v>
      </c>
      <c r="AX249" s="4">
        <v>1</v>
      </c>
      <c r="AY249" s="4">
        <v>1</v>
      </c>
      <c r="AZ249" s="4" t="s">
        <v>155</v>
      </c>
      <c r="BA249" s="4" t="s">
        <v>156</v>
      </c>
      <c r="BB249" s="4">
        <v>1</v>
      </c>
      <c r="BC249" s="4">
        <v>1</v>
      </c>
    </row>
    <row r="250" spans="1:56" s="4" customFormat="1" x14ac:dyDescent="0.25">
      <c r="A250" s="4" t="str">
        <f t="shared" si="15"/>
        <v>شلنگ های لاستیکی بخاری قطر12 ضخامت 4 1لایه 20متری</v>
      </c>
      <c r="B250" s="4">
        <v>1</v>
      </c>
      <c r="C250" s="4" t="s">
        <v>149</v>
      </c>
      <c r="D250" s="4" t="s">
        <v>28</v>
      </c>
      <c r="E250" s="4">
        <v>12</v>
      </c>
      <c r="F250" s="4">
        <v>1</v>
      </c>
      <c r="G250" s="4">
        <v>1</v>
      </c>
      <c r="L250" s="4" t="s">
        <v>30</v>
      </c>
      <c r="M250" s="4">
        <v>4</v>
      </c>
      <c r="N250" s="4">
        <v>1</v>
      </c>
      <c r="O250" s="4">
        <v>1</v>
      </c>
      <c r="P250" s="4" t="s">
        <v>31</v>
      </c>
      <c r="Q250" s="4">
        <v>1</v>
      </c>
      <c r="R250" s="4">
        <v>1</v>
      </c>
      <c r="S250" s="4">
        <v>1</v>
      </c>
      <c r="T250" s="4" t="s">
        <v>32</v>
      </c>
      <c r="U250" s="19" t="s">
        <v>150</v>
      </c>
      <c r="V250" s="4">
        <v>1</v>
      </c>
      <c r="W250" s="4">
        <v>1</v>
      </c>
      <c r="X250" s="4" t="s">
        <v>34</v>
      </c>
      <c r="Y250" s="4" t="s">
        <v>141</v>
      </c>
      <c r="Z250" s="4">
        <v>1</v>
      </c>
      <c r="AA250" s="4">
        <v>1</v>
      </c>
      <c r="AB250" s="4" t="s">
        <v>115</v>
      </c>
      <c r="AC250" s="4">
        <v>20</v>
      </c>
      <c r="AD250" s="4">
        <v>1</v>
      </c>
      <c r="AE250" s="4">
        <v>1</v>
      </c>
      <c r="AV250" s="4" t="s">
        <v>146</v>
      </c>
      <c r="AW250" s="4">
        <v>7</v>
      </c>
      <c r="AX250" s="4">
        <v>1</v>
      </c>
      <c r="AY250" s="4">
        <v>1</v>
      </c>
      <c r="AZ250" s="4" t="s">
        <v>155</v>
      </c>
      <c r="BA250" s="4" t="s">
        <v>156</v>
      </c>
      <c r="BB250" s="4">
        <v>1</v>
      </c>
      <c r="BC250" s="4">
        <v>1</v>
      </c>
    </row>
    <row r="251" spans="1:56" s="4" customFormat="1" x14ac:dyDescent="0.25">
      <c r="A251" s="4" t="str">
        <f t="shared" si="15"/>
        <v>شلنگ های لاستیکی بخاری قطر14 ضخامت 4 1لایه 20متری</v>
      </c>
      <c r="B251" s="4">
        <v>1</v>
      </c>
      <c r="C251" s="4" t="s">
        <v>149</v>
      </c>
      <c r="D251" s="4" t="s">
        <v>28</v>
      </c>
      <c r="E251" s="4">
        <v>14</v>
      </c>
      <c r="F251" s="4">
        <v>1</v>
      </c>
      <c r="G251" s="4">
        <v>1</v>
      </c>
      <c r="L251" s="4" t="s">
        <v>30</v>
      </c>
      <c r="M251" s="4">
        <v>4</v>
      </c>
      <c r="N251" s="4">
        <v>1</v>
      </c>
      <c r="O251" s="4">
        <v>1</v>
      </c>
      <c r="P251" s="4" t="s">
        <v>31</v>
      </c>
      <c r="Q251" s="4">
        <v>1</v>
      </c>
      <c r="R251" s="4">
        <v>1</v>
      </c>
      <c r="S251" s="4">
        <v>1</v>
      </c>
      <c r="T251" s="4" t="s">
        <v>32</v>
      </c>
      <c r="U251" s="19" t="s">
        <v>150</v>
      </c>
      <c r="V251" s="4">
        <v>1</v>
      </c>
      <c r="W251" s="4">
        <v>1</v>
      </c>
      <c r="X251" s="4" t="s">
        <v>34</v>
      </c>
      <c r="Y251" s="4" t="s">
        <v>141</v>
      </c>
      <c r="Z251" s="4">
        <v>1</v>
      </c>
      <c r="AA251" s="4">
        <v>1</v>
      </c>
      <c r="AB251" s="4" t="s">
        <v>115</v>
      </c>
      <c r="AC251" s="4">
        <v>20</v>
      </c>
      <c r="AD251" s="4">
        <v>1</v>
      </c>
      <c r="AE251" s="4">
        <v>1</v>
      </c>
      <c r="AV251" s="4" t="s">
        <v>146</v>
      </c>
      <c r="AW251" s="4">
        <v>7</v>
      </c>
      <c r="AX251" s="4">
        <v>1</v>
      </c>
      <c r="AY251" s="4">
        <v>1</v>
      </c>
      <c r="AZ251" s="4" t="s">
        <v>155</v>
      </c>
      <c r="BA251" s="4" t="s">
        <v>156</v>
      </c>
      <c r="BB251" s="4">
        <v>1</v>
      </c>
      <c r="BC251" s="4">
        <v>1</v>
      </c>
    </row>
    <row r="252" spans="1:56" s="4" customFormat="1" x14ac:dyDescent="0.25">
      <c r="A252" s="4" t="str">
        <f t="shared" si="15"/>
        <v>شلنگ های لاستیکی بخاری قطر16 ضخامت 4 1لایه 20متری</v>
      </c>
      <c r="B252" s="4">
        <v>1</v>
      </c>
      <c r="C252" s="4" t="s">
        <v>149</v>
      </c>
      <c r="D252" s="4" t="s">
        <v>28</v>
      </c>
      <c r="E252" s="4">
        <v>16</v>
      </c>
      <c r="F252" s="4">
        <v>1</v>
      </c>
      <c r="G252" s="4">
        <v>1</v>
      </c>
      <c r="L252" s="4" t="s">
        <v>30</v>
      </c>
      <c r="M252" s="4">
        <v>4</v>
      </c>
      <c r="N252" s="4">
        <v>1</v>
      </c>
      <c r="O252" s="4">
        <v>1</v>
      </c>
      <c r="P252" s="4" t="s">
        <v>31</v>
      </c>
      <c r="Q252" s="4">
        <v>1</v>
      </c>
      <c r="R252" s="4">
        <v>1</v>
      </c>
      <c r="S252" s="4">
        <v>1</v>
      </c>
      <c r="T252" s="4" t="s">
        <v>32</v>
      </c>
      <c r="U252" s="19" t="s">
        <v>150</v>
      </c>
      <c r="V252" s="4">
        <v>1</v>
      </c>
      <c r="W252" s="4">
        <v>1</v>
      </c>
      <c r="X252" s="4" t="s">
        <v>34</v>
      </c>
      <c r="Y252" s="4" t="s">
        <v>141</v>
      </c>
      <c r="Z252" s="4">
        <v>1</v>
      </c>
      <c r="AA252" s="4">
        <v>1</v>
      </c>
      <c r="AB252" s="4" t="s">
        <v>115</v>
      </c>
      <c r="AC252" s="4">
        <v>20</v>
      </c>
      <c r="AD252" s="4">
        <v>1</v>
      </c>
      <c r="AE252" s="4">
        <v>1</v>
      </c>
      <c r="AV252" s="4" t="s">
        <v>146</v>
      </c>
      <c r="AW252" s="4">
        <v>7</v>
      </c>
      <c r="AX252" s="4">
        <v>1</v>
      </c>
      <c r="AY252" s="4">
        <v>1</v>
      </c>
      <c r="AZ252" s="4" t="s">
        <v>155</v>
      </c>
      <c r="BA252" s="4" t="s">
        <v>156</v>
      </c>
      <c r="BB252" s="4">
        <v>1</v>
      </c>
      <c r="BC252" s="4">
        <v>1</v>
      </c>
    </row>
    <row r="253" spans="1:56" s="4" customFormat="1" x14ac:dyDescent="0.25">
      <c r="A253" s="4" t="str">
        <f t="shared" si="15"/>
        <v>شلنگ های لاستیکی بخاری قطر18 ضخامت 4 1لایه 20متری</v>
      </c>
      <c r="B253" s="4">
        <v>1</v>
      </c>
      <c r="C253" s="4" t="s">
        <v>149</v>
      </c>
      <c r="D253" s="4" t="s">
        <v>28</v>
      </c>
      <c r="E253" s="4">
        <v>18</v>
      </c>
      <c r="F253" s="4">
        <v>1</v>
      </c>
      <c r="G253" s="4">
        <v>1</v>
      </c>
      <c r="L253" s="4" t="s">
        <v>30</v>
      </c>
      <c r="M253" s="4">
        <v>4</v>
      </c>
      <c r="N253" s="4">
        <v>1</v>
      </c>
      <c r="O253" s="4">
        <v>1</v>
      </c>
      <c r="P253" s="4" t="s">
        <v>31</v>
      </c>
      <c r="Q253" s="4">
        <v>1</v>
      </c>
      <c r="R253" s="4">
        <v>1</v>
      </c>
      <c r="S253" s="4">
        <v>1</v>
      </c>
      <c r="T253" s="4" t="s">
        <v>32</v>
      </c>
      <c r="U253" s="19" t="s">
        <v>150</v>
      </c>
      <c r="V253" s="4">
        <v>1</v>
      </c>
      <c r="W253" s="4">
        <v>1</v>
      </c>
      <c r="X253" s="4" t="s">
        <v>34</v>
      </c>
      <c r="Y253" s="4" t="s">
        <v>141</v>
      </c>
      <c r="Z253" s="4">
        <v>1</v>
      </c>
      <c r="AA253" s="4">
        <v>1</v>
      </c>
      <c r="AB253" s="4" t="s">
        <v>115</v>
      </c>
      <c r="AC253" s="4">
        <v>20</v>
      </c>
      <c r="AD253" s="4">
        <v>1</v>
      </c>
      <c r="AE253" s="4">
        <v>1</v>
      </c>
      <c r="AV253" s="4" t="s">
        <v>146</v>
      </c>
      <c r="AW253" s="4">
        <v>7</v>
      </c>
      <c r="AX253" s="4">
        <v>1</v>
      </c>
      <c r="AY253" s="4">
        <v>1</v>
      </c>
      <c r="AZ253" s="4" t="s">
        <v>155</v>
      </c>
      <c r="BA253" s="4" t="s">
        <v>156</v>
      </c>
      <c r="BB253" s="4">
        <v>1</v>
      </c>
      <c r="BC253" s="4">
        <v>1</v>
      </c>
    </row>
    <row r="254" spans="1:56" s="4" customFormat="1" x14ac:dyDescent="0.25">
      <c r="A254" s="4" t="str">
        <f t="shared" si="15"/>
        <v>شلنگ های لاستیکی بخاری قطر20 ضخامت 4 1لایه 20متری</v>
      </c>
      <c r="B254" s="4">
        <v>1</v>
      </c>
      <c r="C254" s="4" t="s">
        <v>149</v>
      </c>
      <c r="D254" s="4" t="s">
        <v>28</v>
      </c>
      <c r="E254" s="4">
        <v>20</v>
      </c>
      <c r="F254" s="4">
        <v>1</v>
      </c>
      <c r="G254" s="4">
        <v>1</v>
      </c>
      <c r="L254" s="4" t="s">
        <v>30</v>
      </c>
      <c r="M254" s="4">
        <v>4</v>
      </c>
      <c r="N254" s="4">
        <v>1</v>
      </c>
      <c r="O254" s="4">
        <v>1</v>
      </c>
      <c r="P254" s="4" t="s">
        <v>31</v>
      </c>
      <c r="Q254" s="4">
        <v>1</v>
      </c>
      <c r="R254" s="4">
        <v>1</v>
      </c>
      <c r="S254" s="4">
        <v>1</v>
      </c>
      <c r="T254" s="4" t="s">
        <v>32</v>
      </c>
      <c r="U254" s="19" t="s">
        <v>150</v>
      </c>
      <c r="V254" s="4">
        <v>1</v>
      </c>
      <c r="W254" s="4">
        <v>1</v>
      </c>
      <c r="X254" s="4" t="s">
        <v>34</v>
      </c>
      <c r="Y254" s="4" t="s">
        <v>141</v>
      </c>
      <c r="Z254" s="4">
        <v>1</v>
      </c>
      <c r="AA254" s="4">
        <v>1</v>
      </c>
      <c r="AB254" s="4" t="s">
        <v>115</v>
      </c>
      <c r="AC254" s="4">
        <v>20</v>
      </c>
      <c r="AD254" s="4">
        <v>1</v>
      </c>
      <c r="AE254" s="4">
        <v>1</v>
      </c>
      <c r="AV254" s="4" t="s">
        <v>146</v>
      </c>
      <c r="AW254" s="4">
        <v>7</v>
      </c>
      <c r="AX254" s="4">
        <v>1</v>
      </c>
      <c r="AY254" s="4">
        <v>1</v>
      </c>
      <c r="AZ254" s="4" t="s">
        <v>155</v>
      </c>
      <c r="BA254" s="4" t="s">
        <v>156</v>
      </c>
      <c r="BB254" s="4">
        <v>1</v>
      </c>
      <c r="BC254" s="4">
        <v>1</v>
      </c>
    </row>
    <row r="255" spans="1:56" s="4" customFormat="1" x14ac:dyDescent="0.25">
      <c r="A255" s="4" t="str">
        <f t="shared" si="15"/>
        <v>شلنگ های لاستیکی بخاری قطر22 ضخامت 4 1لایه 20متری</v>
      </c>
      <c r="B255" s="4">
        <v>1</v>
      </c>
      <c r="C255" s="4" t="s">
        <v>149</v>
      </c>
      <c r="D255" s="4" t="s">
        <v>28</v>
      </c>
      <c r="E255" s="4">
        <v>22</v>
      </c>
      <c r="F255" s="4">
        <v>1</v>
      </c>
      <c r="G255" s="4">
        <v>1</v>
      </c>
      <c r="L255" s="4" t="s">
        <v>30</v>
      </c>
      <c r="M255" s="4">
        <v>4</v>
      </c>
      <c r="N255" s="4">
        <v>1</v>
      </c>
      <c r="O255" s="4">
        <v>1</v>
      </c>
      <c r="P255" s="4" t="s">
        <v>31</v>
      </c>
      <c r="Q255" s="4">
        <v>1</v>
      </c>
      <c r="R255" s="4">
        <v>1</v>
      </c>
      <c r="S255" s="4">
        <v>1</v>
      </c>
      <c r="T255" s="4" t="s">
        <v>32</v>
      </c>
      <c r="U255" s="19" t="s">
        <v>150</v>
      </c>
      <c r="V255" s="4">
        <v>1</v>
      </c>
      <c r="W255" s="4">
        <v>1</v>
      </c>
      <c r="X255" s="4" t="s">
        <v>34</v>
      </c>
      <c r="Y255" s="4" t="s">
        <v>141</v>
      </c>
      <c r="Z255" s="4">
        <v>1</v>
      </c>
      <c r="AA255" s="4">
        <v>1</v>
      </c>
      <c r="AB255" s="4" t="s">
        <v>115</v>
      </c>
      <c r="AC255" s="4">
        <v>20</v>
      </c>
      <c r="AD255" s="4">
        <v>1</v>
      </c>
      <c r="AE255" s="4">
        <v>1</v>
      </c>
      <c r="AV255" s="4" t="s">
        <v>146</v>
      </c>
      <c r="AW255" s="4">
        <v>7</v>
      </c>
      <c r="AX255" s="4">
        <v>1</v>
      </c>
      <c r="AY255" s="4">
        <v>1</v>
      </c>
      <c r="AZ255" s="4" t="s">
        <v>155</v>
      </c>
      <c r="BA255" s="4" t="s">
        <v>156</v>
      </c>
      <c r="BB255" s="4">
        <v>1</v>
      </c>
      <c r="BC255" s="4">
        <v>1</v>
      </c>
    </row>
    <row r="256" spans="1:56" s="3" customFormat="1" x14ac:dyDescent="0.25">
      <c r="A256" s="3" t="str">
        <f>"شلنگ های هوای فشرده" &amp;" " &amp;"قطر"&amp; E256 &amp;" "&amp; "ضخامت "&amp; M256 &amp;" "&amp;Q256 &amp; "لایه"&amp;" "&amp; AC256 &amp;"متری"</f>
        <v>شلنگ های هوای فشرده قطر19 ضخامت 5.5 1لایه 50متری</v>
      </c>
      <c r="B256" s="3">
        <v>1</v>
      </c>
      <c r="C256" s="3" t="s">
        <v>162</v>
      </c>
      <c r="D256" s="3" t="s">
        <v>28</v>
      </c>
      <c r="E256" s="3">
        <v>19</v>
      </c>
      <c r="F256" s="3">
        <v>1</v>
      </c>
      <c r="G256" s="3">
        <v>1</v>
      </c>
      <c r="L256" s="3" t="s">
        <v>30</v>
      </c>
      <c r="M256" s="3">
        <v>5.5</v>
      </c>
      <c r="N256" s="3">
        <v>1</v>
      </c>
      <c r="O256" s="3">
        <v>1</v>
      </c>
      <c r="P256" s="3" t="s">
        <v>31</v>
      </c>
      <c r="Q256" s="3">
        <v>1</v>
      </c>
      <c r="R256" s="3">
        <v>1</v>
      </c>
      <c r="S256" s="3">
        <v>1</v>
      </c>
      <c r="X256" s="3" t="s">
        <v>34</v>
      </c>
      <c r="Y256" s="3" t="s">
        <v>141</v>
      </c>
      <c r="Z256" s="3">
        <v>1</v>
      </c>
      <c r="AA256" s="3">
        <v>1</v>
      </c>
      <c r="AB256" s="3" t="s">
        <v>115</v>
      </c>
      <c r="AC256" s="3">
        <v>50</v>
      </c>
      <c r="AD256" s="3">
        <v>1</v>
      </c>
      <c r="AE256" s="3">
        <v>1</v>
      </c>
      <c r="AN256" s="3" t="s">
        <v>127</v>
      </c>
      <c r="AO256" s="3">
        <v>30</v>
      </c>
      <c r="AP256" s="3">
        <v>1</v>
      </c>
      <c r="AQ256" s="3">
        <v>1</v>
      </c>
      <c r="AV256" s="3" t="s">
        <v>146</v>
      </c>
      <c r="AW256" s="3">
        <v>20</v>
      </c>
      <c r="AX256" s="3">
        <v>1</v>
      </c>
      <c r="AY256" s="3">
        <v>1</v>
      </c>
      <c r="AZ256" s="3" t="s">
        <v>163</v>
      </c>
      <c r="BA256" s="3" t="s">
        <v>164</v>
      </c>
      <c r="BD256" s="3" t="s">
        <v>157</v>
      </c>
    </row>
    <row r="257" spans="1:63" s="3" customFormat="1" x14ac:dyDescent="0.25">
      <c r="A257" s="3" t="str">
        <f t="shared" ref="A257:A260" si="16">"شلنگ های هوای فشرده" &amp;" " &amp;"قطر"&amp; E257 &amp;" "&amp; "ضخامت "&amp; M257 &amp;" "&amp;Q257 &amp; "لایه"&amp;" "&amp; AC257 &amp;"متری"</f>
        <v>شلنگ های هوای فشرده قطر25 ضخامت 6 1لایه 50متری</v>
      </c>
      <c r="B257" s="3">
        <v>1</v>
      </c>
      <c r="C257" s="3" t="s">
        <v>162</v>
      </c>
      <c r="D257" s="3" t="s">
        <v>28</v>
      </c>
      <c r="E257" s="3">
        <v>25</v>
      </c>
      <c r="F257" s="3">
        <v>1</v>
      </c>
      <c r="G257" s="3">
        <v>1</v>
      </c>
      <c r="L257" s="3" t="s">
        <v>30</v>
      </c>
      <c r="M257" s="3">
        <v>6</v>
      </c>
      <c r="N257" s="3">
        <v>1</v>
      </c>
      <c r="O257" s="3">
        <v>1</v>
      </c>
      <c r="P257" s="3" t="s">
        <v>31</v>
      </c>
      <c r="Q257" s="3">
        <v>1</v>
      </c>
      <c r="R257" s="3">
        <v>1</v>
      </c>
      <c r="S257" s="3">
        <v>1</v>
      </c>
      <c r="X257" s="3" t="s">
        <v>34</v>
      </c>
      <c r="Y257" s="3" t="s">
        <v>141</v>
      </c>
      <c r="Z257" s="3">
        <v>1</v>
      </c>
      <c r="AA257" s="3">
        <v>1</v>
      </c>
      <c r="AB257" s="3" t="s">
        <v>115</v>
      </c>
      <c r="AC257" s="3">
        <v>50</v>
      </c>
      <c r="AD257" s="3">
        <v>1</v>
      </c>
      <c r="AE257" s="3">
        <v>1</v>
      </c>
      <c r="AN257" s="3" t="s">
        <v>127</v>
      </c>
      <c r="AO257" s="3">
        <v>37</v>
      </c>
      <c r="AP257" s="3">
        <v>1</v>
      </c>
      <c r="AQ257" s="3">
        <v>1</v>
      </c>
      <c r="AV257" s="3" t="s">
        <v>146</v>
      </c>
      <c r="AW257" s="3">
        <v>20</v>
      </c>
      <c r="AX257" s="3">
        <v>1</v>
      </c>
      <c r="AY257" s="3">
        <v>1</v>
      </c>
      <c r="AZ257" s="3" t="s">
        <v>163</v>
      </c>
      <c r="BA257" s="3" t="s">
        <v>164</v>
      </c>
    </row>
    <row r="258" spans="1:63" s="3" customFormat="1" x14ac:dyDescent="0.25">
      <c r="A258" s="3" t="str">
        <f t="shared" si="16"/>
        <v>شلنگ های هوای فشرده قطر51 ضخامت 7 2لایه 20متری</v>
      </c>
      <c r="B258" s="3">
        <v>1</v>
      </c>
      <c r="C258" s="3" t="s">
        <v>162</v>
      </c>
      <c r="D258" s="3" t="s">
        <v>28</v>
      </c>
      <c r="E258" s="3">
        <v>51</v>
      </c>
      <c r="F258" s="3">
        <v>1</v>
      </c>
      <c r="G258" s="3">
        <v>1</v>
      </c>
      <c r="L258" s="3" t="s">
        <v>30</v>
      </c>
      <c r="M258" s="3">
        <v>7</v>
      </c>
      <c r="N258" s="3">
        <v>1</v>
      </c>
      <c r="O258" s="3">
        <v>1</v>
      </c>
      <c r="P258" s="3" t="s">
        <v>31</v>
      </c>
      <c r="Q258" s="3">
        <v>2</v>
      </c>
      <c r="R258" s="3">
        <v>1</v>
      </c>
      <c r="S258" s="3">
        <v>1</v>
      </c>
      <c r="X258" s="3" t="s">
        <v>34</v>
      </c>
      <c r="Y258" s="3" t="s">
        <v>141</v>
      </c>
      <c r="Z258" s="3">
        <v>1</v>
      </c>
      <c r="AA258" s="3">
        <v>1</v>
      </c>
      <c r="AB258" s="3" t="s">
        <v>115</v>
      </c>
      <c r="AC258" s="3">
        <v>20</v>
      </c>
      <c r="AD258" s="3">
        <v>1</v>
      </c>
      <c r="AE258" s="3">
        <v>1</v>
      </c>
      <c r="AN258" s="3" t="s">
        <v>127</v>
      </c>
      <c r="AO258" s="3">
        <v>65</v>
      </c>
      <c r="AP258" s="3">
        <v>1</v>
      </c>
      <c r="AQ258" s="3">
        <v>1</v>
      </c>
      <c r="AV258" s="3" t="s">
        <v>146</v>
      </c>
      <c r="AW258" s="3">
        <v>20</v>
      </c>
      <c r="AX258" s="3">
        <v>1</v>
      </c>
      <c r="AY258" s="3">
        <v>1</v>
      </c>
      <c r="AZ258" s="3" t="s">
        <v>163</v>
      </c>
      <c r="BA258" s="3" t="s">
        <v>164</v>
      </c>
    </row>
    <row r="259" spans="1:63" s="3" customFormat="1" x14ac:dyDescent="0.25">
      <c r="A259" s="3" t="str">
        <f t="shared" si="16"/>
        <v>شلنگ های هوای فشرده قطر60 ضخامت 7 2لایه 20متری</v>
      </c>
      <c r="B259" s="3">
        <v>1</v>
      </c>
      <c r="C259" s="3" t="s">
        <v>162</v>
      </c>
      <c r="D259" s="3" t="s">
        <v>28</v>
      </c>
      <c r="E259" s="3">
        <v>60</v>
      </c>
      <c r="F259" s="3">
        <v>1</v>
      </c>
      <c r="G259" s="3">
        <v>1</v>
      </c>
      <c r="L259" s="3" t="s">
        <v>30</v>
      </c>
      <c r="M259" s="3">
        <v>7</v>
      </c>
      <c r="N259" s="3">
        <v>1</v>
      </c>
      <c r="O259" s="3">
        <v>1</v>
      </c>
      <c r="P259" s="3" t="s">
        <v>31</v>
      </c>
      <c r="Q259" s="3">
        <v>2</v>
      </c>
      <c r="R259" s="3">
        <v>1</v>
      </c>
      <c r="S259" s="3">
        <v>1</v>
      </c>
      <c r="X259" s="3" t="s">
        <v>34</v>
      </c>
      <c r="Y259" s="3" t="s">
        <v>141</v>
      </c>
      <c r="Z259" s="3">
        <v>1</v>
      </c>
      <c r="AA259" s="3">
        <v>1</v>
      </c>
      <c r="AB259" s="3" t="s">
        <v>115</v>
      </c>
      <c r="AC259" s="3">
        <v>20</v>
      </c>
      <c r="AD259" s="3">
        <v>1</v>
      </c>
      <c r="AE259" s="3">
        <v>1</v>
      </c>
      <c r="AN259" s="3" t="s">
        <v>127</v>
      </c>
      <c r="AO259" s="3">
        <v>74</v>
      </c>
      <c r="AP259" s="3">
        <v>1</v>
      </c>
      <c r="AQ259" s="3">
        <v>1</v>
      </c>
      <c r="AV259" s="3" t="s">
        <v>146</v>
      </c>
      <c r="AW259" s="3">
        <v>20</v>
      </c>
      <c r="AX259" s="3">
        <v>1</v>
      </c>
      <c r="AY259" s="3">
        <v>1</v>
      </c>
      <c r="AZ259" s="3" t="s">
        <v>163</v>
      </c>
      <c r="BA259" s="3" t="s">
        <v>164</v>
      </c>
    </row>
    <row r="260" spans="1:63" s="3" customFormat="1" x14ac:dyDescent="0.25">
      <c r="A260" s="3" t="str">
        <f t="shared" si="16"/>
        <v>شلنگ های هوای فشرده قطر76 ضخامت 7 4لایه 20متری</v>
      </c>
      <c r="B260" s="3">
        <v>1</v>
      </c>
      <c r="C260" s="3" t="s">
        <v>162</v>
      </c>
      <c r="D260" s="3" t="s">
        <v>28</v>
      </c>
      <c r="E260" s="3">
        <v>76</v>
      </c>
      <c r="F260" s="3">
        <v>1</v>
      </c>
      <c r="G260" s="3">
        <v>1</v>
      </c>
      <c r="L260" s="3" t="s">
        <v>30</v>
      </c>
      <c r="M260" s="3">
        <v>7</v>
      </c>
      <c r="N260" s="3">
        <v>1</v>
      </c>
      <c r="O260" s="3">
        <v>1</v>
      </c>
      <c r="P260" s="3" t="s">
        <v>31</v>
      </c>
      <c r="Q260" s="3">
        <v>4</v>
      </c>
      <c r="R260" s="3">
        <v>1</v>
      </c>
      <c r="S260" s="3">
        <v>1</v>
      </c>
      <c r="X260" s="3" t="s">
        <v>34</v>
      </c>
      <c r="Y260" s="3" t="s">
        <v>141</v>
      </c>
      <c r="Z260" s="3">
        <v>1</v>
      </c>
      <c r="AA260" s="3">
        <v>1</v>
      </c>
      <c r="AB260" s="3" t="s">
        <v>115</v>
      </c>
      <c r="AC260" s="3">
        <v>20</v>
      </c>
      <c r="AD260" s="3">
        <v>1</v>
      </c>
      <c r="AE260" s="3">
        <v>1</v>
      </c>
      <c r="AN260" s="3" t="s">
        <v>127</v>
      </c>
      <c r="AO260" s="3">
        <v>90</v>
      </c>
      <c r="AP260" s="3">
        <v>1</v>
      </c>
      <c r="AQ260" s="3">
        <v>1</v>
      </c>
      <c r="AV260" s="3" t="s">
        <v>146</v>
      </c>
      <c r="AW260" s="3">
        <v>20</v>
      </c>
      <c r="AX260" s="3">
        <v>1</v>
      </c>
      <c r="AY260" s="3">
        <v>1</v>
      </c>
      <c r="AZ260" s="3" t="s">
        <v>163</v>
      </c>
      <c r="BA260" s="3" t="s">
        <v>164</v>
      </c>
    </row>
    <row r="261" spans="1:63" s="1" customFormat="1" x14ac:dyDescent="0.25">
      <c r="A261" s="1" t="str">
        <f>"اینتر کولر و رابط سوپر" &amp;" " &amp;"قطر"&amp; E261 &amp;" "&amp; "ضخامت "&amp; M261 &amp;" "&amp;Q261 &amp; "لایه"&amp;" "&amp; AC261 &amp;"میلی متر"</f>
        <v>اینتر کولر و رابط سوپر قطر63 ضخامت 5 4لایه 180میلی متر</v>
      </c>
      <c r="B261" s="1">
        <v>1</v>
      </c>
      <c r="C261" s="1" t="s">
        <v>165</v>
      </c>
      <c r="D261" s="1" t="s">
        <v>28</v>
      </c>
      <c r="E261" s="1">
        <v>63</v>
      </c>
      <c r="F261" s="1">
        <v>1</v>
      </c>
      <c r="G261" s="1">
        <v>1</v>
      </c>
      <c r="L261" s="1" t="s">
        <v>30</v>
      </c>
      <c r="M261" s="1">
        <v>5</v>
      </c>
      <c r="N261" s="1">
        <v>1</v>
      </c>
      <c r="O261" s="1">
        <v>1</v>
      </c>
      <c r="P261" s="1" t="s">
        <v>31</v>
      </c>
      <c r="Q261" s="1">
        <v>4</v>
      </c>
      <c r="R261" s="1">
        <v>1</v>
      </c>
      <c r="S261" s="1">
        <v>1</v>
      </c>
      <c r="X261" s="1" t="s">
        <v>34</v>
      </c>
      <c r="Y261" s="1" t="s">
        <v>35</v>
      </c>
      <c r="Z261" s="1">
        <v>1</v>
      </c>
      <c r="AA261" s="1">
        <v>1</v>
      </c>
      <c r="AB261" s="20" t="s">
        <v>169</v>
      </c>
      <c r="AC261" s="1">
        <v>180</v>
      </c>
      <c r="AD261" s="1">
        <v>1</v>
      </c>
      <c r="AE261" s="1">
        <v>1</v>
      </c>
      <c r="BH261" s="1" t="s">
        <v>174</v>
      </c>
      <c r="BI261" s="1">
        <v>3</v>
      </c>
      <c r="BJ261" s="1">
        <v>1</v>
      </c>
      <c r="BK261" s="1">
        <v>1</v>
      </c>
    </row>
    <row r="262" spans="1:63" s="1" customFormat="1" x14ac:dyDescent="0.25">
      <c r="A262" s="1" t="str">
        <f t="shared" ref="A262:A292" si="17">"اینتر کولر و رابط سوپر" &amp;" " &amp;"قطر"&amp; E262 &amp;" "&amp; "ضخامت "&amp; M262 &amp;" "&amp;Q262 &amp; "لایه"&amp;" "&amp; AC262 &amp;"میلی متر"</f>
        <v>اینتر کولر و رابط سوپر قطر70 ضخامت 5 4لایه 102میلی متر</v>
      </c>
      <c r="B262" s="1">
        <v>1</v>
      </c>
      <c r="C262" s="1" t="s">
        <v>165</v>
      </c>
      <c r="D262" s="1" t="s">
        <v>28</v>
      </c>
      <c r="E262" s="1">
        <v>70</v>
      </c>
      <c r="F262" s="1">
        <v>1</v>
      </c>
      <c r="G262" s="1">
        <v>1</v>
      </c>
      <c r="L262" s="1" t="s">
        <v>30</v>
      </c>
      <c r="M262" s="1">
        <v>5</v>
      </c>
      <c r="N262" s="1">
        <v>1</v>
      </c>
      <c r="O262" s="1">
        <v>1</v>
      </c>
      <c r="P262" s="1" t="s">
        <v>31</v>
      </c>
      <c r="Q262" s="1">
        <v>4</v>
      </c>
      <c r="R262" s="1">
        <v>1</v>
      </c>
      <c r="S262" s="1">
        <v>1</v>
      </c>
      <c r="X262" s="1" t="s">
        <v>34</v>
      </c>
      <c r="Y262" s="1" t="s">
        <v>35</v>
      </c>
      <c r="Z262" s="1">
        <v>1</v>
      </c>
      <c r="AA262" s="1">
        <v>1</v>
      </c>
      <c r="AB262" s="20" t="s">
        <v>169</v>
      </c>
      <c r="AC262" s="1">
        <v>102</v>
      </c>
      <c r="AD262" s="1">
        <v>1</v>
      </c>
      <c r="AE262" s="1">
        <v>1</v>
      </c>
      <c r="BH262" s="1" t="s">
        <v>174</v>
      </c>
      <c r="BI262" s="1">
        <v>1</v>
      </c>
      <c r="BJ262" s="1">
        <v>1</v>
      </c>
      <c r="BK262" s="1">
        <v>1</v>
      </c>
    </row>
    <row r="263" spans="1:63" s="1" customFormat="1" x14ac:dyDescent="0.25">
      <c r="A263" s="1" t="str">
        <f t="shared" si="17"/>
        <v>اینتر کولر و رابط سوپر قطر70 ضخامت 5 4لایه 120میلی متر</v>
      </c>
      <c r="B263" s="1">
        <v>1</v>
      </c>
      <c r="C263" s="1" t="s">
        <v>165</v>
      </c>
      <c r="D263" s="1" t="s">
        <v>28</v>
      </c>
      <c r="E263" s="1">
        <v>70</v>
      </c>
      <c r="F263" s="1">
        <v>1</v>
      </c>
      <c r="G263" s="1">
        <v>1</v>
      </c>
      <c r="L263" s="1" t="s">
        <v>30</v>
      </c>
      <c r="M263" s="1">
        <v>5</v>
      </c>
      <c r="N263" s="1">
        <v>1</v>
      </c>
      <c r="O263" s="1">
        <v>1</v>
      </c>
      <c r="P263" s="1" t="s">
        <v>31</v>
      </c>
      <c r="Q263" s="1">
        <v>4</v>
      </c>
      <c r="R263" s="1">
        <v>1</v>
      </c>
      <c r="S263" s="1">
        <v>1</v>
      </c>
      <c r="X263" s="1" t="s">
        <v>34</v>
      </c>
      <c r="Y263" s="1" t="s">
        <v>35</v>
      </c>
      <c r="Z263" s="1">
        <v>1</v>
      </c>
      <c r="AA263" s="1">
        <v>1</v>
      </c>
      <c r="AB263" s="20" t="s">
        <v>169</v>
      </c>
      <c r="AC263" s="1">
        <v>120</v>
      </c>
      <c r="AD263" s="1">
        <v>1</v>
      </c>
      <c r="AE263" s="1">
        <v>1</v>
      </c>
      <c r="BH263" s="1" t="s">
        <v>174</v>
      </c>
      <c r="BI263" s="1">
        <v>1</v>
      </c>
      <c r="BJ263" s="1">
        <v>1</v>
      </c>
      <c r="BK263" s="1">
        <v>1</v>
      </c>
    </row>
    <row r="264" spans="1:63" s="1" customFormat="1" x14ac:dyDescent="0.25">
      <c r="A264" s="1" t="str">
        <f t="shared" si="17"/>
        <v>اینتر کولر و رابط سوپر قطر70 ضخامت 5 4لایه 178میلی متر</v>
      </c>
      <c r="B264" s="1">
        <v>1</v>
      </c>
      <c r="C264" s="1" t="s">
        <v>165</v>
      </c>
      <c r="D264" s="1" t="s">
        <v>28</v>
      </c>
      <c r="E264" s="1">
        <v>70</v>
      </c>
      <c r="F264" s="1">
        <v>1</v>
      </c>
      <c r="G264" s="1">
        <v>1</v>
      </c>
      <c r="L264" s="1" t="s">
        <v>30</v>
      </c>
      <c r="M264" s="1">
        <v>5</v>
      </c>
      <c r="N264" s="1">
        <v>1</v>
      </c>
      <c r="O264" s="1">
        <v>1</v>
      </c>
      <c r="P264" s="1" t="s">
        <v>31</v>
      </c>
      <c r="Q264" s="1">
        <v>4</v>
      </c>
      <c r="R264" s="1">
        <v>1</v>
      </c>
      <c r="S264" s="1">
        <v>1</v>
      </c>
      <c r="X264" s="1" t="s">
        <v>34</v>
      </c>
      <c r="Y264" s="1" t="s">
        <v>35</v>
      </c>
      <c r="Z264" s="1">
        <v>1</v>
      </c>
      <c r="AA264" s="1">
        <v>1</v>
      </c>
      <c r="AB264" s="20" t="s">
        <v>169</v>
      </c>
      <c r="AC264" s="1">
        <v>178</v>
      </c>
      <c r="AD264" s="1">
        <v>1</v>
      </c>
      <c r="AE264" s="1">
        <v>1</v>
      </c>
      <c r="BH264" s="1" t="s">
        <v>174</v>
      </c>
      <c r="BI264" s="1">
        <v>3</v>
      </c>
      <c r="BJ264" s="1">
        <v>1</v>
      </c>
      <c r="BK264" s="1">
        <v>1</v>
      </c>
    </row>
    <row r="265" spans="1:63" s="1" customFormat="1" x14ac:dyDescent="0.25">
      <c r="A265" s="1" t="str">
        <f t="shared" si="17"/>
        <v>اینتر کولر و رابط سوپر قطر76 ضخامت 5 4لایه 130میلی متر</v>
      </c>
      <c r="B265" s="1">
        <v>1</v>
      </c>
      <c r="C265" s="1" t="s">
        <v>165</v>
      </c>
      <c r="D265" s="1" t="s">
        <v>28</v>
      </c>
      <c r="E265" s="1">
        <v>76</v>
      </c>
      <c r="F265" s="1">
        <v>1</v>
      </c>
      <c r="G265" s="1">
        <v>1</v>
      </c>
      <c r="L265" s="1" t="s">
        <v>30</v>
      </c>
      <c r="M265" s="1">
        <v>5</v>
      </c>
      <c r="N265" s="1">
        <v>1</v>
      </c>
      <c r="O265" s="1">
        <v>1</v>
      </c>
      <c r="P265" s="1" t="s">
        <v>31</v>
      </c>
      <c r="Q265" s="1">
        <v>4</v>
      </c>
      <c r="R265" s="1">
        <v>1</v>
      </c>
      <c r="S265" s="1">
        <v>1</v>
      </c>
      <c r="X265" s="1" t="s">
        <v>34</v>
      </c>
      <c r="Y265" s="1" t="s">
        <v>35</v>
      </c>
      <c r="Z265" s="1">
        <v>1</v>
      </c>
      <c r="AA265" s="1">
        <v>1</v>
      </c>
      <c r="AB265" s="20" t="s">
        <v>169</v>
      </c>
      <c r="AC265" s="1">
        <v>130</v>
      </c>
      <c r="AD265" s="1">
        <v>1</v>
      </c>
      <c r="AE265" s="1">
        <v>1</v>
      </c>
      <c r="BH265" s="1" t="s">
        <v>174</v>
      </c>
      <c r="BI265" s="1">
        <v>1</v>
      </c>
      <c r="BJ265" s="1">
        <v>1</v>
      </c>
      <c r="BK265" s="1">
        <v>1</v>
      </c>
    </row>
    <row r="266" spans="1:63" s="1" customFormat="1" x14ac:dyDescent="0.25">
      <c r="A266" s="1" t="str">
        <f t="shared" si="17"/>
        <v>اینتر کولر و رابط سوپر قطر78 ضخامت 5 4لایه 125میلی متر</v>
      </c>
      <c r="B266" s="1">
        <v>1</v>
      </c>
      <c r="C266" s="1" t="s">
        <v>165</v>
      </c>
      <c r="D266" s="1" t="s">
        <v>28</v>
      </c>
      <c r="E266" s="1">
        <v>78</v>
      </c>
      <c r="F266" s="1">
        <v>1</v>
      </c>
      <c r="G266" s="1">
        <v>1</v>
      </c>
      <c r="L266" s="1" t="s">
        <v>30</v>
      </c>
      <c r="M266" s="1">
        <v>5</v>
      </c>
      <c r="N266" s="1">
        <v>1</v>
      </c>
      <c r="O266" s="1">
        <v>1</v>
      </c>
      <c r="P266" s="1" t="s">
        <v>31</v>
      </c>
      <c r="Q266" s="1">
        <v>4</v>
      </c>
      <c r="R266" s="1">
        <v>1</v>
      </c>
      <c r="S266" s="1">
        <v>1</v>
      </c>
      <c r="X266" s="1" t="s">
        <v>34</v>
      </c>
      <c r="Y266" s="1" t="s">
        <v>35</v>
      </c>
      <c r="Z266" s="1">
        <v>1</v>
      </c>
      <c r="AA266" s="1">
        <v>1</v>
      </c>
      <c r="AB266" s="20" t="s">
        <v>169</v>
      </c>
      <c r="AC266" s="1">
        <v>125</v>
      </c>
      <c r="AD266" s="1">
        <v>1</v>
      </c>
      <c r="AE266" s="1">
        <v>1</v>
      </c>
      <c r="BH266" s="1" t="s">
        <v>174</v>
      </c>
      <c r="BI266" s="1">
        <v>2</v>
      </c>
      <c r="BJ266" s="1">
        <v>1</v>
      </c>
      <c r="BK266" s="1">
        <v>1</v>
      </c>
    </row>
    <row r="267" spans="1:63" s="1" customFormat="1" x14ac:dyDescent="0.25">
      <c r="A267" s="1" t="str">
        <f t="shared" si="17"/>
        <v>اینتر کولر و رابط سوپر قطر78 ضخامت 5 4لایه 460میلی متر</v>
      </c>
      <c r="B267" s="1">
        <v>1</v>
      </c>
      <c r="C267" s="1" t="s">
        <v>165</v>
      </c>
      <c r="D267" s="1" t="s">
        <v>28</v>
      </c>
      <c r="E267" s="1">
        <v>78</v>
      </c>
      <c r="F267" s="1">
        <v>1</v>
      </c>
      <c r="G267" s="1">
        <v>1</v>
      </c>
      <c r="L267" s="1" t="s">
        <v>30</v>
      </c>
      <c r="M267" s="1">
        <v>5</v>
      </c>
      <c r="N267" s="1">
        <v>1</v>
      </c>
      <c r="O267" s="1">
        <v>1</v>
      </c>
      <c r="P267" s="1" t="s">
        <v>31</v>
      </c>
      <c r="Q267" s="1">
        <v>4</v>
      </c>
      <c r="R267" s="1">
        <v>1</v>
      </c>
      <c r="S267" s="1">
        <v>1</v>
      </c>
      <c r="X267" s="1" t="s">
        <v>34</v>
      </c>
      <c r="Y267" s="1" t="s">
        <v>35</v>
      </c>
      <c r="Z267" s="1">
        <v>1</v>
      </c>
      <c r="AA267" s="1">
        <v>1</v>
      </c>
      <c r="AB267" s="20" t="s">
        <v>169</v>
      </c>
      <c r="AC267" s="1">
        <v>460</v>
      </c>
      <c r="AD267" s="1">
        <v>1</v>
      </c>
      <c r="AE267" s="1">
        <v>1</v>
      </c>
      <c r="BH267" s="1" t="s">
        <v>174</v>
      </c>
      <c r="BI267" s="1">
        <v>14</v>
      </c>
      <c r="BJ267" s="1">
        <v>1</v>
      </c>
      <c r="BK267" s="1">
        <v>1</v>
      </c>
    </row>
    <row r="268" spans="1:63" s="1" customFormat="1" x14ac:dyDescent="0.25">
      <c r="A268" s="1" t="str">
        <f t="shared" si="17"/>
        <v>اینتر کولر و رابط سوپر قطر80 ضخامت 5 4لایه 130میلی متر</v>
      </c>
      <c r="B268" s="1">
        <v>1</v>
      </c>
      <c r="C268" s="1" t="s">
        <v>165</v>
      </c>
      <c r="D268" s="1" t="s">
        <v>28</v>
      </c>
      <c r="E268" s="1">
        <v>80</v>
      </c>
      <c r="F268" s="1">
        <v>1</v>
      </c>
      <c r="G268" s="1">
        <v>1</v>
      </c>
      <c r="L268" s="1" t="s">
        <v>30</v>
      </c>
      <c r="M268" s="1">
        <v>5</v>
      </c>
      <c r="N268" s="1">
        <v>1</v>
      </c>
      <c r="O268" s="1">
        <v>1</v>
      </c>
      <c r="P268" s="1" t="s">
        <v>31</v>
      </c>
      <c r="Q268" s="1">
        <v>4</v>
      </c>
      <c r="R268" s="1">
        <v>1</v>
      </c>
      <c r="S268" s="1">
        <v>1</v>
      </c>
      <c r="X268" s="1" t="s">
        <v>34</v>
      </c>
      <c r="Y268" s="1" t="s">
        <v>35</v>
      </c>
      <c r="Z268" s="1">
        <v>1</v>
      </c>
      <c r="AA268" s="1">
        <v>1</v>
      </c>
      <c r="AB268" s="20" t="s">
        <v>169</v>
      </c>
      <c r="AC268" s="1">
        <v>130</v>
      </c>
      <c r="AD268" s="1">
        <v>1</v>
      </c>
      <c r="AE268" s="1">
        <v>1</v>
      </c>
      <c r="BH268" s="1" t="s">
        <v>174</v>
      </c>
      <c r="BI268" s="1">
        <v>1</v>
      </c>
      <c r="BJ268" s="1">
        <v>1</v>
      </c>
      <c r="BK268" s="1">
        <v>1</v>
      </c>
    </row>
    <row r="269" spans="1:63" s="1" customFormat="1" x14ac:dyDescent="0.25">
      <c r="A269" s="1" t="str">
        <f t="shared" si="17"/>
        <v>اینتر کولر و رابط سوپر قطر85 ضخامت 5 4لایه 203میلی متر</v>
      </c>
      <c r="B269" s="1">
        <v>1</v>
      </c>
      <c r="C269" s="1" t="s">
        <v>165</v>
      </c>
      <c r="D269" s="1" t="s">
        <v>28</v>
      </c>
      <c r="E269" s="1">
        <v>85</v>
      </c>
      <c r="F269" s="1">
        <v>1</v>
      </c>
      <c r="G269" s="1">
        <v>1</v>
      </c>
      <c r="L269" s="1" t="s">
        <v>30</v>
      </c>
      <c r="M269" s="1">
        <v>5</v>
      </c>
      <c r="N269" s="1">
        <v>1</v>
      </c>
      <c r="O269" s="1">
        <v>1</v>
      </c>
      <c r="P269" s="1" t="s">
        <v>31</v>
      </c>
      <c r="Q269" s="1">
        <v>4</v>
      </c>
      <c r="R269" s="1">
        <v>1</v>
      </c>
      <c r="S269" s="1">
        <v>1</v>
      </c>
      <c r="X269" s="1" t="s">
        <v>34</v>
      </c>
      <c r="Y269" s="1" t="s">
        <v>35</v>
      </c>
      <c r="Z269" s="1">
        <v>1</v>
      </c>
      <c r="AA269" s="1">
        <v>1</v>
      </c>
      <c r="AB269" s="20" t="s">
        <v>169</v>
      </c>
      <c r="AC269" s="1">
        <v>203</v>
      </c>
      <c r="AD269" s="1">
        <v>1</v>
      </c>
      <c r="AE269" s="1">
        <v>1</v>
      </c>
      <c r="BH269" s="1" t="s">
        <v>174</v>
      </c>
      <c r="BI269" s="1">
        <v>5</v>
      </c>
      <c r="BJ269" s="1">
        <v>1</v>
      </c>
      <c r="BK269" s="1">
        <v>1</v>
      </c>
    </row>
    <row r="270" spans="1:63" s="1" customFormat="1" x14ac:dyDescent="0.25">
      <c r="A270" s="1" t="str">
        <f t="shared" si="17"/>
        <v>اینتر کولر و رابط سوپر قطر85 ضخامت 5 4لایه 300میلی متر</v>
      </c>
      <c r="B270" s="1">
        <v>1</v>
      </c>
      <c r="C270" s="1" t="s">
        <v>165</v>
      </c>
      <c r="D270" s="1" t="s">
        <v>28</v>
      </c>
      <c r="E270" s="1">
        <v>85</v>
      </c>
      <c r="F270" s="1">
        <v>1</v>
      </c>
      <c r="G270" s="1">
        <v>1</v>
      </c>
      <c r="L270" s="1" t="s">
        <v>30</v>
      </c>
      <c r="M270" s="1">
        <v>5</v>
      </c>
      <c r="N270" s="1">
        <v>1</v>
      </c>
      <c r="O270" s="1">
        <v>1</v>
      </c>
      <c r="P270" s="1" t="s">
        <v>31</v>
      </c>
      <c r="Q270" s="1">
        <v>4</v>
      </c>
      <c r="R270" s="1">
        <v>1</v>
      </c>
      <c r="S270" s="1">
        <v>1</v>
      </c>
      <c r="X270" s="1" t="s">
        <v>34</v>
      </c>
      <c r="Y270" s="1" t="s">
        <v>35</v>
      </c>
      <c r="Z270" s="1">
        <v>1</v>
      </c>
      <c r="AA270" s="1">
        <v>1</v>
      </c>
      <c r="AB270" s="20" t="s">
        <v>169</v>
      </c>
      <c r="AC270" s="1">
        <v>300</v>
      </c>
      <c r="AD270" s="1">
        <v>1</v>
      </c>
      <c r="AE270" s="1">
        <v>1</v>
      </c>
      <c r="BH270" s="1" t="s">
        <v>174</v>
      </c>
      <c r="BI270" s="1">
        <v>8</v>
      </c>
      <c r="BJ270" s="1">
        <v>1</v>
      </c>
      <c r="BK270" s="1">
        <v>1</v>
      </c>
    </row>
    <row r="271" spans="1:63" s="1" customFormat="1" x14ac:dyDescent="0.25">
      <c r="A271" s="1" t="str">
        <f t="shared" si="17"/>
        <v>اینتر کولر و رابط سوپر قطر90 ضخامت 5 4لایه 102میلی متر</v>
      </c>
      <c r="B271" s="1">
        <v>1</v>
      </c>
      <c r="C271" s="1" t="s">
        <v>165</v>
      </c>
      <c r="D271" s="1" t="s">
        <v>28</v>
      </c>
      <c r="E271" s="1">
        <v>90</v>
      </c>
      <c r="F271" s="1">
        <v>1</v>
      </c>
      <c r="G271" s="1">
        <v>1</v>
      </c>
      <c r="L271" s="1" t="s">
        <v>30</v>
      </c>
      <c r="M271" s="1">
        <v>5</v>
      </c>
      <c r="N271" s="1">
        <v>1</v>
      </c>
      <c r="O271" s="1">
        <v>1</v>
      </c>
      <c r="P271" s="1" t="s">
        <v>31</v>
      </c>
      <c r="Q271" s="1">
        <v>4</v>
      </c>
      <c r="R271" s="1">
        <v>1</v>
      </c>
      <c r="S271" s="1">
        <v>1</v>
      </c>
      <c r="X271" s="1" t="s">
        <v>34</v>
      </c>
      <c r="Y271" s="1" t="s">
        <v>35</v>
      </c>
      <c r="Z271" s="1">
        <v>1</v>
      </c>
      <c r="AA271" s="1">
        <v>1</v>
      </c>
      <c r="AB271" s="20" t="s">
        <v>169</v>
      </c>
      <c r="AC271" s="1">
        <v>102</v>
      </c>
      <c r="AD271" s="1">
        <v>1</v>
      </c>
      <c r="AE271" s="1">
        <v>1</v>
      </c>
      <c r="BH271" s="1" t="s">
        <v>174</v>
      </c>
      <c r="BI271" s="1">
        <v>2</v>
      </c>
      <c r="BJ271" s="1">
        <v>1</v>
      </c>
      <c r="BK271" s="1">
        <v>1</v>
      </c>
    </row>
    <row r="272" spans="1:63" s="1" customFormat="1" x14ac:dyDescent="0.25">
      <c r="A272" s="1" t="str">
        <f t="shared" si="17"/>
        <v>اینتر کولر و رابط سوپر قطر90 ضخامت 5 4لایه 150میلی متر</v>
      </c>
      <c r="B272" s="1">
        <v>1</v>
      </c>
      <c r="C272" s="1" t="s">
        <v>165</v>
      </c>
      <c r="D272" s="1" t="s">
        <v>28</v>
      </c>
      <c r="E272" s="1">
        <v>90</v>
      </c>
      <c r="F272" s="1">
        <v>1</v>
      </c>
      <c r="G272" s="1">
        <v>1</v>
      </c>
      <c r="L272" s="1" t="s">
        <v>30</v>
      </c>
      <c r="M272" s="1">
        <v>5</v>
      </c>
      <c r="N272" s="1">
        <v>1</v>
      </c>
      <c r="O272" s="1">
        <v>1</v>
      </c>
      <c r="P272" s="1" t="s">
        <v>31</v>
      </c>
      <c r="Q272" s="1">
        <v>4</v>
      </c>
      <c r="R272" s="1">
        <v>1</v>
      </c>
      <c r="S272" s="1">
        <v>1</v>
      </c>
      <c r="X272" s="1" t="s">
        <v>34</v>
      </c>
      <c r="Y272" s="1" t="s">
        <v>35</v>
      </c>
      <c r="Z272" s="1">
        <v>1</v>
      </c>
      <c r="AA272" s="1">
        <v>1</v>
      </c>
      <c r="AB272" s="20" t="s">
        <v>169</v>
      </c>
      <c r="AC272" s="1">
        <v>150</v>
      </c>
      <c r="AD272" s="1">
        <v>1</v>
      </c>
      <c r="AE272" s="1">
        <v>1</v>
      </c>
      <c r="BH272" s="1" t="s">
        <v>174</v>
      </c>
      <c r="BI272" s="1">
        <v>2</v>
      </c>
      <c r="BJ272" s="1">
        <v>1</v>
      </c>
      <c r="BK272" s="1">
        <v>1</v>
      </c>
    </row>
    <row r="273" spans="1:63" s="1" customFormat="1" x14ac:dyDescent="0.25">
      <c r="A273" s="1" t="str">
        <f t="shared" si="17"/>
        <v>اینتر کولر و رابط سوپر قطر90 ضخامت 5 4لایه 165میلی متر</v>
      </c>
      <c r="B273" s="1">
        <v>1</v>
      </c>
      <c r="C273" s="1" t="s">
        <v>165</v>
      </c>
      <c r="D273" s="1" t="s">
        <v>28</v>
      </c>
      <c r="E273" s="1">
        <v>90</v>
      </c>
      <c r="F273" s="1">
        <v>1</v>
      </c>
      <c r="G273" s="1">
        <v>1</v>
      </c>
      <c r="L273" s="1" t="s">
        <v>30</v>
      </c>
      <c r="M273" s="1">
        <v>5</v>
      </c>
      <c r="N273" s="1">
        <v>1</v>
      </c>
      <c r="O273" s="1">
        <v>1</v>
      </c>
      <c r="P273" s="1" t="s">
        <v>31</v>
      </c>
      <c r="Q273" s="1">
        <v>4</v>
      </c>
      <c r="R273" s="1">
        <v>1</v>
      </c>
      <c r="S273" s="1">
        <v>1</v>
      </c>
      <c r="X273" s="1" t="s">
        <v>34</v>
      </c>
      <c r="Y273" s="1" t="s">
        <v>35</v>
      </c>
      <c r="Z273" s="1">
        <v>1</v>
      </c>
      <c r="AA273" s="1">
        <v>1</v>
      </c>
      <c r="AB273" s="20" t="s">
        <v>169</v>
      </c>
      <c r="AC273" s="1">
        <v>165</v>
      </c>
      <c r="AD273" s="1">
        <v>1</v>
      </c>
      <c r="AE273" s="1">
        <v>1</v>
      </c>
      <c r="BH273" s="1" t="s">
        <v>174</v>
      </c>
      <c r="BI273" s="1">
        <v>3</v>
      </c>
      <c r="BJ273" s="1">
        <v>1</v>
      </c>
      <c r="BK273" s="1">
        <v>1</v>
      </c>
    </row>
    <row r="274" spans="1:63" s="1" customFormat="1" x14ac:dyDescent="0.25">
      <c r="A274" s="1" t="str">
        <f t="shared" si="17"/>
        <v>اینتر کولر و رابط سوپر قطر90 ضخامت 5 4لایه 150میلی متر</v>
      </c>
      <c r="B274" s="1">
        <v>1</v>
      </c>
      <c r="C274" s="1" t="s">
        <v>165</v>
      </c>
      <c r="D274" s="1" t="s">
        <v>28</v>
      </c>
      <c r="E274" s="1">
        <v>90</v>
      </c>
      <c r="F274" s="1">
        <v>1</v>
      </c>
      <c r="G274" s="1">
        <v>1</v>
      </c>
      <c r="L274" s="1" t="s">
        <v>30</v>
      </c>
      <c r="M274" s="1">
        <v>5</v>
      </c>
      <c r="N274" s="1">
        <v>1</v>
      </c>
      <c r="O274" s="1">
        <v>1</v>
      </c>
      <c r="P274" s="1" t="s">
        <v>31</v>
      </c>
      <c r="Q274" s="1">
        <v>4</v>
      </c>
      <c r="R274" s="1">
        <v>1</v>
      </c>
      <c r="S274" s="1">
        <v>1</v>
      </c>
      <c r="X274" s="1" t="s">
        <v>34</v>
      </c>
      <c r="Y274" s="1" t="s">
        <v>35</v>
      </c>
      <c r="Z274" s="1">
        <v>1</v>
      </c>
      <c r="AA274" s="1">
        <v>1</v>
      </c>
      <c r="AB274" s="20" t="s">
        <v>169</v>
      </c>
      <c r="AC274" s="1">
        <v>150</v>
      </c>
      <c r="AD274" s="1">
        <v>1</v>
      </c>
      <c r="AE274" s="1">
        <v>1</v>
      </c>
      <c r="BH274" s="1" t="s">
        <v>174</v>
      </c>
      <c r="BI274" s="1">
        <v>3</v>
      </c>
      <c r="BJ274" s="1">
        <v>1</v>
      </c>
      <c r="BK274" s="1">
        <v>1</v>
      </c>
    </row>
    <row r="275" spans="1:63" s="1" customFormat="1" x14ac:dyDescent="0.25">
      <c r="A275" s="1" t="str">
        <f t="shared" si="17"/>
        <v>اینتر کولر و رابط سوپر قطر90 ضخامت 5 4لایه 203میلی متر</v>
      </c>
      <c r="B275" s="1">
        <v>1</v>
      </c>
      <c r="C275" s="1" t="s">
        <v>165</v>
      </c>
      <c r="D275" s="1" t="s">
        <v>28</v>
      </c>
      <c r="E275" s="1">
        <v>90</v>
      </c>
      <c r="F275" s="1">
        <v>1</v>
      </c>
      <c r="G275" s="1">
        <v>1</v>
      </c>
      <c r="L275" s="1" t="s">
        <v>30</v>
      </c>
      <c r="M275" s="1">
        <v>5</v>
      </c>
      <c r="N275" s="1">
        <v>1</v>
      </c>
      <c r="O275" s="1">
        <v>1</v>
      </c>
      <c r="P275" s="1" t="s">
        <v>31</v>
      </c>
      <c r="Q275" s="1">
        <v>4</v>
      </c>
      <c r="R275" s="1">
        <v>1</v>
      </c>
      <c r="S275" s="1">
        <v>1</v>
      </c>
      <c r="X275" s="1" t="s">
        <v>34</v>
      </c>
      <c r="Y275" s="1" t="s">
        <v>35</v>
      </c>
      <c r="Z275" s="1">
        <v>1</v>
      </c>
      <c r="AA275" s="1">
        <v>1</v>
      </c>
      <c r="AB275" s="20" t="s">
        <v>169</v>
      </c>
      <c r="AC275" s="1">
        <v>203</v>
      </c>
      <c r="AD275" s="1">
        <v>1</v>
      </c>
      <c r="AE275" s="1">
        <v>1</v>
      </c>
      <c r="BH275" s="1" t="s">
        <v>174</v>
      </c>
      <c r="BI275" s="1">
        <v>5</v>
      </c>
      <c r="BJ275" s="1">
        <v>1</v>
      </c>
      <c r="BK275" s="1">
        <v>1</v>
      </c>
    </row>
    <row r="276" spans="1:63" s="1" customFormat="1" x14ac:dyDescent="0.25">
      <c r="A276" s="1" t="str">
        <f t="shared" si="17"/>
        <v>اینتر کولر و رابط سوپر قطر90 ضخامت 5 4لایه 220میلی متر</v>
      </c>
      <c r="B276" s="1">
        <v>1</v>
      </c>
      <c r="C276" s="1" t="s">
        <v>165</v>
      </c>
      <c r="D276" s="1" t="s">
        <v>28</v>
      </c>
      <c r="E276" s="1">
        <v>90</v>
      </c>
      <c r="F276" s="1">
        <v>1</v>
      </c>
      <c r="G276" s="1">
        <v>1</v>
      </c>
      <c r="L276" s="1" t="s">
        <v>30</v>
      </c>
      <c r="M276" s="1">
        <v>5</v>
      </c>
      <c r="N276" s="1">
        <v>1</v>
      </c>
      <c r="O276" s="1">
        <v>1</v>
      </c>
      <c r="P276" s="1" t="s">
        <v>31</v>
      </c>
      <c r="Q276" s="1">
        <v>4</v>
      </c>
      <c r="R276" s="1">
        <v>1</v>
      </c>
      <c r="S276" s="1">
        <v>1</v>
      </c>
      <c r="X276" s="1" t="s">
        <v>34</v>
      </c>
      <c r="Y276" s="1" t="s">
        <v>35</v>
      </c>
      <c r="Z276" s="1">
        <v>1</v>
      </c>
      <c r="AA276" s="1">
        <v>1</v>
      </c>
      <c r="AB276" s="20" t="s">
        <v>169</v>
      </c>
      <c r="AC276" s="1">
        <v>220</v>
      </c>
      <c r="AD276" s="1">
        <v>1</v>
      </c>
      <c r="AE276" s="1">
        <v>1</v>
      </c>
      <c r="BH276" s="1" t="s">
        <v>174</v>
      </c>
      <c r="BI276" s="1">
        <v>5</v>
      </c>
      <c r="BJ276" s="1">
        <v>1</v>
      </c>
      <c r="BK276" s="1">
        <v>1</v>
      </c>
    </row>
    <row r="277" spans="1:63" s="1" customFormat="1" x14ac:dyDescent="0.25">
      <c r="A277" s="1" t="str">
        <f t="shared" si="17"/>
        <v>اینتر کولر و رابط سوپر قطر90 ضخامت 5 4لایه 300میلی متر</v>
      </c>
      <c r="B277" s="1">
        <v>1</v>
      </c>
      <c r="C277" s="1" t="s">
        <v>165</v>
      </c>
      <c r="D277" s="1" t="s">
        <v>28</v>
      </c>
      <c r="E277" s="1">
        <v>90</v>
      </c>
      <c r="F277" s="1">
        <v>1</v>
      </c>
      <c r="G277" s="1">
        <v>1</v>
      </c>
      <c r="L277" s="1" t="s">
        <v>30</v>
      </c>
      <c r="M277" s="1">
        <v>5</v>
      </c>
      <c r="N277" s="1">
        <v>1</v>
      </c>
      <c r="O277" s="1">
        <v>1</v>
      </c>
      <c r="P277" s="1" t="s">
        <v>31</v>
      </c>
      <c r="Q277" s="1">
        <v>4</v>
      </c>
      <c r="R277" s="1">
        <v>1</v>
      </c>
      <c r="S277" s="1">
        <v>1</v>
      </c>
      <c r="X277" s="1" t="s">
        <v>34</v>
      </c>
      <c r="Y277" s="1" t="s">
        <v>35</v>
      </c>
      <c r="Z277" s="1">
        <v>1</v>
      </c>
      <c r="AA277" s="1">
        <v>1</v>
      </c>
      <c r="AB277" s="20" t="s">
        <v>169</v>
      </c>
      <c r="AC277" s="1">
        <v>300</v>
      </c>
      <c r="AD277" s="1">
        <v>1</v>
      </c>
      <c r="AE277" s="1">
        <v>1</v>
      </c>
      <c r="BH277" s="1" t="s">
        <v>174</v>
      </c>
      <c r="BI277" s="1">
        <v>9</v>
      </c>
      <c r="BJ277" s="1">
        <v>1</v>
      </c>
      <c r="BK277" s="1">
        <v>1</v>
      </c>
    </row>
    <row r="278" spans="1:63" s="1" customFormat="1" x14ac:dyDescent="0.25">
      <c r="A278" s="1" t="str">
        <f t="shared" si="17"/>
        <v>اینتر کولر و رابط سوپر قطر102 ضخامت 5 4لایه 102میلی متر</v>
      </c>
      <c r="B278" s="1">
        <v>1</v>
      </c>
      <c r="C278" s="1" t="s">
        <v>165</v>
      </c>
      <c r="D278" s="1" t="s">
        <v>28</v>
      </c>
      <c r="E278" s="1">
        <v>102</v>
      </c>
      <c r="F278" s="1">
        <v>1</v>
      </c>
      <c r="G278" s="1">
        <v>1</v>
      </c>
      <c r="L278" s="1" t="s">
        <v>30</v>
      </c>
      <c r="M278" s="1">
        <v>5</v>
      </c>
      <c r="N278" s="1">
        <v>1</v>
      </c>
      <c r="O278" s="1">
        <v>1</v>
      </c>
      <c r="P278" s="1" t="s">
        <v>31</v>
      </c>
      <c r="Q278" s="1">
        <v>4</v>
      </c>
      <c r="R278" s="1">
        <v>1</v>
      </c>
      <c r="S278" s="1">
        <v>1</v>
      </c>
      <c r="X278" s="1" t="s">
        <v>34</v>
      </c>
      <c r="Y278" s="1" t="s">
        <v>35</v>
      </c>
      <c r="Z278" s="1">
        <v>1</v>
      </c>
      <c r="AA278" s="1">
        <v>1</v>
      </c>
      <c r="AB278" s="20" t="s">
        <v>169</v>
      </c>
      <c r="AC278" s="1">
        <v>102</v>
      </c>
      <c r="AD278" s="1">
        <v>1</v>
      </c>
      <c r="AE278" s="1">
        <v>1</v>
      </c>
      <c r="BH278" s="1" t="s">
        <v>174</v>
      </c>
      <c r="BI278" s="1">
        <v>2</v>
      </c>
      <c r="BJ278" s="1">
        <v>1</v>
      </c>
      <c r="BK278" s="1">
        <v>1</v>
      </c>
    </row>
    <row r="279" spans="1:63" s="1" customFormat="1" x14ac:dyDescent="0.25">
      <c r="A279" s="1" t="str">
        <f t="shared" si="17"/>
        <v>اینتر کولر و رابط سوپر قطر102 ضخامت 5 4لایه 150میلی متر</v>
      </c>
      <c r="B279" s="1">
        <v>1</v>
      </c>
      <c r="C279" s="1" t="s">
        <v>165</v>
      </c>
      <c r="D279" s="1" t="s">
        <v>28</v>
      </c>
      <c r="E279" s="1">
        <v>102</v>
      </c>
      <c r="F279" s="1">
        <v>1</v>
      </c>
      <c r="G279" s="1">
        <v>1</v>
      </c>
      <c r="L279" s="1" t="s">
        <v>30</v>
      </c>
      <c r="M279" s="1">
        <v>5</v>
      </c>
      <c r="N279" s="1">
        <v>1</v>
      </c>
      <c r="O279" s="1">
        <v>1</v>
      </c>
      <c r="P279" s="1" t="s">
        <v>31</v>
      </c>
      <c r="Q279" s="1">
        <v>4</v>
      </c>
      <c r="R279" s="1">
        <v>1</v>
      </c>
      <c r="S279" s="1">
        <v>1</v>
      </c>
      <c r="X279" s="1" t="s">
        <v>34</v>
      </c>
      <c r="Y279" s="1" t="s">
        <v>35</v>
      </c>
      <c r="Z279" s="1">
        <v>1</v>
      </c>
      <c r="AA279" s="1">
        <v>1</v>
      </c>
      <c r="AB279" s="20" t="s">
        <v>169</v>
      </c>
      <c r="AC279" s="1">
        <v>150</v>
      </c>
      <c r="AD279" s="1">
        <v>1</v>
      </c>
      <c r="AE279" s="1">
        <v>1</v>
      </c>
      <c r="BH279" s="1" t="s">
        <v>174</v>
      </c>
      <c r="BI279" s="1">
        <v>2</v>
      </c>
      <c r="BJ279" s="1">
        <v>1</v>
      </c>
      <c r="BK279" s="1">
        <v>1</v>
      </c>
    </row>
    <row r="280" spans="1:63" s="1" customFormat="1" x14ac:dyDescent="0.25">
      <c r="A280" s="1" t="str">
        <f t="shared" si="17"/>
        <v>اینتر کولر و رابط سوپر قطر102 ضخامت 5 4لایه 165میلی متر</v>
      </c>
      <c r="B280" s="1">
        <v>1</v>
      </c>
      <c r="C280" s="1" t="s">
        <v>165</v>
      </c>
      <c r="D280" s="1" t="s">
        <v>28</v>
      </c>
      <c r="E280" s="1">
        <v>102</v>
      </c>
      <c r="F280" s="1">
        <v>1</v>
      </c>
      <c r="G280" s="1">
        <v>1</v>
      </c>
      <c r="L280" s="1" t="s">
        <v>30</v>
      </c>
      <c r="M280" s="1">
        <v>5</v>
      </c>
      <c r="N280" s="1">
        <v>1</v>
      </c>
      <c r="O280" s="1">
        <v>1</v>
      </c>
      <c r="P280" s="1" t="s">
        <v>31</v>
      </c>
      <c r="Q280" s="1">
        <v>4</v>
      </c>
      <c r="R280" s="1">
        <v>1</v>
      </c>
      <c r="S280" s="1">
        <v>1</v>
      </c>
      <c r="X280" s="1" t="s">
        <v>34</v>
      </c>
      <c r="Y280" s="1" t="s">
        <v>35</v>
      </c>
      <c r="Z280" s="1">
        <v>1</v>
      </c>
      <c r="AA280" s="1">
        <v>1</v>
      </c>
      <c r="AB280" s="20" t="s">
        <v>169</v>
      </c>
      <c r="AC280" s="1">
        <v>165</v>
      </c>
      <c r="AD280" s="1">
        <v>1</v>
      </c>
      <c r="AE280" s="1">
        <v>1</v>
      </c>
      <c r="BH280" s="1" t="s">
        <v>174</v>
      </c>
      <c r="BI280" s="1">
        <v>3</v>
      </c>
      <c r="BJ280" s="1">
        <v>1</v>
      </c>
      <c r="BK280" s="1">
        <v>1</v>
      </c>
    </row>
    <row r="281" spans="1:63" s="1" customFormat="1" x14ac:dyDescent="0.25">
      <c r="A281" s="1" t="str">
        <f t="shared" si="17"/>
        <v>اینتر کولر و رابط سوپر قطر102 ضخامت 5 4لایه 180میلی متر</v>
      </c>
      <c r="B281" s="1">
        <v>1</v>
      </c>
      <c r="C281" s="1" t="s">
        <v>165</v>
      </c>
      <c r="D281" s="1" t="s">
        <v>28</v>
      </c>
      <c r="E281" s="1">
        <v>102</v>
      </c>
      <c r="F281" s="1">
        <v>1</v>
      </c>
      <c r="G281" s="1">
        <v>1</v>
      </c>
      <c r="L281" s="1" t="s">
        <v>30</v>
      </c>
      <c r="M281" s="1">
        <v>5</v>
      </c>
      <c r="N281" s="1">
        <v>1</v>
      </c>
      <c r="O281" s="1">
        <v>1</v>
      </c>
      <c r="P281" s="1" t="s">
        <v>31</v>
      </c>
      <c r="Q281" s="1">
        <v>4</v>
      </c>
      <c r="R281" s="1">
        <v>1</v>
      </c>
      <c r="S281" s="1">
        <v>1</v>
      </c>
      <c r="X281" s="1" t="s">
        <v>34</v>
      </c>
      <c r="Y281" s="1" t="s">
        <v>35</v>
      </c>
      <c r="Z281" s="1">
        <v>1</v>
      </c>
      <c r="AA281" s="1">
        <v>1</v>
      </c>
      <c r="AB281" s="20" t="s">
        <v>169</v>
      </c>
      <c r="AC281" s="1">
        <v>180</v>
      </c>
      <c r="AD281" s="1">
        <v>1</v>
      </c>
      <c r="AE281" s="1">
        <v>1</v>
      </c>
      <c r="BH281" s="1" t="s">
        <v>174</v>
      </c>
      <c r="BI281" s="1">
        <v>3</v>
      </c>
      <c r="BJ281" s="1">
        <v>1</v>
      </c>
      <c r="BK281" s="1">
        <v>1</v>
      </c>
    </row>
    <row r="282" spans="1:63" s="1" customFormat="1" x14ac:dyDescent="0.25">
      <c r="A282" s="1" t="str">
        <f t="shared" si="17"/>
        <v>اینتر کولر و رابط سوپر قطر102 ضخامت 5 4لایه 203میلی متر</v>
      </c>
      <c r="B282" s="1">
        <v>1</v>
      </c>
      <c r="C282" s="1" t="s">
        <v>165</v>
      </c>
      <c r="D282" s="1" t="s">
        <v>28</v>
      </c>
      <c r="E282" s="1">
        <v>102</v>
      </c>
      <c r="F282" s="1">
        <v>1</v>
      </c>
      <c r="G282" s="1">
        <v>1</v>
      </c>
      <c r="L282" s="1" t="s">
        <v>30</v>
      </c>
      <c r="M282" s="1">
        <v>5</v>
      </c>
      <c r="N282" s="1">
        <v>1</v>
      </c>
      <c r="O282" s="1">
        <v>1</v>
      </c>
      <c r="P282" s="1" t="s">
        <v>31</v>
      </c>
      <c r="Q282" s="1">
        <v>4</v>
      </c>
      <c r="R282" s="1">
        <v>1</v>
      </c>
      <c r="S282" s="1">
        <v>1</v>
      </c>
      <c r="X282" s="1" t="s">
        <v>34</v>
      </c>
      <c r="Y282" s="1" t="s">
        <v>35</v>
      </c>
      <c r="Z282" s="1">
        <v>1</v>
      </c>
      <c r="AA282" s="1">
        <v>1</v>
      </c>
      <c r="AB282" s="20" t="s">
        <v>169</v>
      </c>
      <c r="AC282" s="1">
        <v>203</v>
      </c>
      <c r="AD282" s="1">
        <v>1</v>
      </c>
      <c r="AE282" s="1">
        <v>1</v>
      </c>
      <c r="BH282" s="1" t="s">
        <v>174</v>
      </c>
      <c r="BI282" s="1">
        <v>5</v>
      </c>
      <c r="BJ282" s="1">
        <v>1</v>
      </c>
      <c r="BK282" s="1">
        <v>1</v>
      </c>
    </row>
    <row r="283" spans="1:63" s="1" customFormat="1" x14ac:dyDescent="0.25">
      <c r="A283" s="1" t="str">
        <f t="shared" si="17"/>
        <v>اینتر کولر و رابط سوپر قطر102 ضخامت 5 4لایه 216میلی متر</v>
      </c>
      <c r="B283" s="1">
        <v>1</v>
      </c>
      <c r="C283" s="1" t="s">
        <v>165</v>
      </c>
      <c r="D283" s="1" t="s">
        <v>28</v>
      </c>
      <c r="E283" s="1">
        <v>102</v>
      </c>
      <c r="F283" s="1">
        <v>1</v>
      </c>
      <c r="G283" s="1">
        <v>1</v>
      </c>
      <c r="L283" s="1" t="s">
        <v>30</v>
      </c>
      <c r="M283" s="1">
        <v>5</v>
      </c>
      <c r="N283" s="1">
        <v>1</v>
      </c>
      <c r="O283" s="1">
        <v>1</v>
      </c>
      <c r="P283" s="1" t="s">
        <v>31</v>
      </c>
      <c r="Q283" s="1">
        <v>4</v>
      </c>
      <c r="R283" s="1">
        <v>1</v>
      </c>
      <c r="S283" s="1">
        <v>1</v>
      </c>
      <c r="X283" s="1" t="s">
        <v>34</v>
      </c>
      <c r="Y283" s="1" t="s">
        <v>35</v>
      </c>
      <c r="Z283" s="1">
        <v>1</v>
      </c>
      <c r="AA283" s="1">
        <v>1</v>
      </c>
      <c r="AB283" s="20" t="s">
        <v>169</v>
      </c>
      <c r="AC283" s="1">
        <v>216</v>
      </c>
      <c r="AD283" s="1">
        <v>1</v>
      </c>
      <c r="AE283" s="1">
        <v>1</v>
      </c>
      <c r="BH283" s="1" t="s">
        <v>174</v>
      </c>
      <c r="BI283" s="1">
        <v>5</v>
      </c>
      <c r="BJ283" s="1">
        <v>1</v>
      </c>
      <c r="BK283" s="1">
        <v>1</v>
      </c>
    </row>
    <row r="284" spans="1:63" s="1" customFormat="1" x14ac:dyDescent="0.25">
      <c r="A284" s="1" t="str">
        <f t="shared" si="17"/>
        <v>اینتر کولر و رابط سوپر قطر102 ضخامت 5 4لایه 241میلی متر</v>
      </c>
      <c r="B284" s="1">
        <v>1</v>
      </c>
      <c r="C284" s="1" t="s">
        <v>165</v>
      </c>
      <c r="D284" s="1" t="s">
        <v>28</v>
      </c>
      <c r="E284" s="1">
        <v>102</v>
      </c>
      <c r="F284" s="1">
        <v>1</v>
      </c>
      <c r="G284" s="1">
        <v>1</v>
      </c>
      <c r="L284" s="1" t="s">
        <v>30</v>
      </c>
      <c r="M284" s="1">
        <v>5</v>
      </c>
      <c r="N284" s="1">
        <v>1</v>
      </c>
      <c r="O284" s="1">
        <v>1</v>
      </c>
      <c r="P284" s="1" t="s">
        <v>31</v>
      </c>
      <c r="Q284" s="1">
        <v>4</v>
      </c>
      <c r="R284" s="1">
        <v>1</v>
      </c>
      <c r="S284" s="1">
        <v>1</v>
      </c>
      <c r="X284" s="1" t="s">
        <v>34</v>
      </c>
      <c r="Y284" s="1" t="s">
        <v>35</v>
      </c>
      <c r="Z284" s="1">
        <v>1</v>
      </c>
      <c r="AA284" s="1">
        <v>1</v>
      </c>
      <c r="AB284" s="20" t="s">
        <v>169</v>
      </c>
      <c r="AC284" s="1">
        <v>241</v>
      </c>
      <c r="AD284" s="1">
        <v>1</v>
      </c>
      <c r="AE284" s="1">
        <v>1</v>
      </c>
      <c r="BH284" s="1" t="s">
        <v>174</v>
      </c>
      <c r="BI284" s="1">
        <v>7</v>
      </c>
      <c r="BJ284" s="1">
        <v>1</v>
      </c>
      <c r="BK284" s="1">
        <v>1</v>
      </c>
    </row>
    <row r="285" spans="1:63" s="1" customFormat="1" x14ac:dyDescent="0.25">
      <c r="A285" s="1" t="str">
        <f t="shared" si="17"/>
        <v>اینتر کولر و رابط سوپر قطر110 ضخامت 5 4لایه 190میلی متر</v>
      </c>
      <c r="B285" s="1">
        <v>1</v>
      </c>
      <c r="C285" s="1" t="s">
        <v>165</v>
      </c>
      <c r="D285" s="1" t="s">
        <v>28</v>
      </c>
      <c r="E285" s="1">
        <v>110</v>
      </c>
      <c r="F285" s="1">
        <v>1</v>
      </c>
      <c r="G285" s="1">
        <v>1</v>
      </c>
      <c r="L285" s="1" t="s">
        <v>30</v>
      </c>
      <c r="M285" s="1">
        <v>5</v>
      </c>
      <c r="N285" s="1">
        <v>1</v>
      </c>
      <c r="O285" s="1">
        <v>1</v>
      </c>
      <c r="P285" s="1" t="s">
        <v>31</v>
      </c>
      <c r="Q285" s="1">
        <v>4</v>
      </c>
      <c r="R285" s="1">
        <v>1</v>
      </c>
      <c r="S285" s="1">
        <v>1</v>
      </c>
      <c r="X285" s="1" t="s">
        <v>34</v>
      </c>
      <c r="Y285" s="1" t="s">
        <v>35</v>
      </c>
      <c r="Z285" s="1">
        <v>1</v>
      </c>
      <c r="AA285" s="1">
        <v>1</v>
      </c>
      <c r="AB285" s="20" t="s">
        <v>169</v>
      </c>
      <c r="AC285" s="1">
        <v>190</v>
      </c>
      <c r="AD285" s="1">
        <v>1</v>
      </c>
      <c r="AE285" s="1">
        <v>1</v>
      </c>
      <c r="BH285" s="1" t="s">
        <v>174</v>
      </c>
      <c r="BI285" s="1">
        <v>6</v>
      </c>
      <c r="BJ285" s="1">
        <v>1</v>
      </c>
      <c r="BK285" s="1">
        <v>1</v>
      </c>
    </row>
    <row r="286" spans="1:63" s="1" customFormat="1" x14ac:dyDescent="0.25">
      <c r="A286" s="1" t="str">
        <f t="shared" si="17"/>
        <v>اینتر کولر و رابط سوپر قطر114 ضخامت 5 4لایه 210میلی متر</v>
      </c>
      <c r="B286" s="1">
        <v>1</v>
      </c>
      <c r="C286" s="1" t="s">
        <v>165</v>
      </c>
      <c r="D286" s="1" t="s">
        <v>28</v>
      </c>
      <c r="E286" s="1">
        <v>114</v>
      </c>
      <c r="F286" s="1">
        <v>1</v>
      </c>
      <c r="G286" s="1">
        <v>1</v>
      </c>
      <c r="L286" s="1" t="s">
        <v>30</v>
      </c>
      <c r="M286" s="1">
        <v>5</v>
      </c>
      <c r="N286" s="1">
        <v>1</v>
      </c>
      <c r="O286" s="1">
        <v>1</v>
      </c>
      <c r="P286" s="1" t="s">
        <v>31</v>
      </c>
      <c r="Q286" s="1">
        <v>4</v>
      </c>
      <c r="R286" s="1">
        <v>1</v>
      </c>
      <c r="S286" s="1">
        <v>1</v>
      </c>
      <c r="X286" s="1" t="s">
        <v>34</v>
      </c>
      <c r="Y286" s="1" t="s">
        <v>35</v>
      </c>
      <c r="Z286" s="1">
        <v>1</v>
      </c>
      <c r="AA286" s="1">
        <v>1</v>
      </c>
      <c r="AB286" s="20" t="s">
        <v>169</v>
      </c>
      <c r="AC286" s="1">
        <v>210</v>
      </c>
      <c r="AD286" s="1">
        <v>1</v>
      </c>
      <c r="AE286" s="1">
        <v>1</v>
      </c>
      <c r="BH286" s="1" t="s">
        <v>174</v>
      </c>
      <c r="BI286" s="1">
        <v>6</v>
      </c>
      <c r="BJ286" s="1">
        <v>1</v>
      </c>
      <c r="BK286" s="1">
        <v>1</v>
      </c>
    </row>
    <row r="287" spans="1:63" s="1" customFormat="1" x14ac:dyDescent="0.25">
      <c r="A287" s="1" t="str">
        <f t="shared" si="17"/>
        <v>اینتر کولر و رابط سوپر قطر114 ضخامت 5 4لایه 150میلی متر</v>
      </c>
      <c r="B287" s="1">
        <v>1</v>
      </c>
      <c r="C287" s="1" t="s">
        <v>165</v>
      </c>
      <c r="D287" s="1" t="s">
        <v>28</v>
      </c>
      <c r="E287" s="1">
        <v>114</v>
      </c>
      <c r="F287" s="1">
        <v>1</v>
      </c>
      <c r="G287" s="1">
        <v>1</v>
      </c>
      <c r="L287" s="1" t="s">
        <v>30</v>
      </c>
      <c r="M287" s="1">
        <v>5</v>
      </c>
      <c r="N287" s="1">
        <v>1</v>
      </c>
      <c r="O287" s="1">
        <v>1</v>
      </c>
      <c r="P287" s="1" t="s">
        <v>31</v>
      </c>
      <c r="Q287" s="1">
        <v>4</v>
      </c>
      <c r="R287" s="1">
        <v>1</v>
      </c>
      <c r="S287" s="1">
        <v>1</v>
      </c>
      <c r="X287" s="1" t="s">
        <v>34</v>
      </c>
      <c r="Y287" s="1" t="s">
        <v>168</v>
      </c>
      <c r="Z287" s="1">
        <v>1</v>
      </c>
      <c r="AA287" s="1">
        <v>1</v>
      </c>
      <c r="AB287" s="20" t="s">
        <v>169</v>
      </c>
      <c r="AC287" s="1">
        <v>150</v>
      </c>
      <c r="AD287" s="1">
        <v>1</v>
      </c>
      <c r="AE287" s="1">
        <v>1</v>
      </c>
      <c r="BH287" s="1" t="s">
        <v>174</v>
      </c>
      <c r="BI287" s="1">
        <v>6</v>
      </c>
      <c r="BJ287" s="1">
        <v>1</v>
      </c>
      <c r="BK287" s="1">
        <v>1</v>
      </c>
    </row>
    <row r="288" spans="1:63" s="1" customFormat="1" x14ac:dyDescent="0.25">
      <c r="A288" s="1" t="str">
        <f t="shared" si="17"/>
        <v>اینتر کولر و رابط سوپر قطر102/90 ضخامت 5 4لایه 170میلی متر</v>
      </c>
      <c r="B288" s="1">
        <v>1</v>
      </c>
      <c r="C288" s="1" t="s">
        <v>165</v>
      </c>
      <c r="D288" s="1" t="s">
        <v>28</v>
      </c>
      <c r="E288" s="2" t="s">
        <v>166</v>
      </c>
      <c r="F288" s="1">
        <v>1</v>
      </c>
      <c r="G288" s="1">
        <v>1</v>
      </c>
      <c r="L288" s="1" t="s">
        <v>30</v>
      </c>
      <c r="M288" s="1">
        <v>5</v>
      </c>
      <c r="N288" s="1">
        <v>1</v>
      </c>
      <c r="O288" s="1">
        <v>1</v>
      </c>
      <c r="P288" s="1" t="s">
        <v>31</v>
      </c>
      <c r="Q288" s="1">
        <v>4</v>
      </c>
      <c r="R288" s="1">
        <v>1</v>
      </c>
      <c r="S288" s="1">
        <v>1</v>
      </c>
      <c r="X288" s="1" t="s">
        <v>34</v>
      </c>
      <c r="Y288" s="1" t="s">
        <v>168</v>
      </c>
      <c r="Z288" s="1">
        <v>1</v>
      </c>
      <c r="AA288" s="1">
        <v>1</v>
      </c>
      <c r="AB288" s="20" t="s">
        <v>169</v>
      </c>
      <c r="AC288" s="1">
        <v>170</v>
      </c>
      <c r="AD288" s="1">
        <v>1</v>
      </c>
      <c r="AE288" s="1">
        <v>1</v>
      </c>
      <c r="BH288" s="1" t="s">
        <v>174</v>
      </c>
      <c r="BI288" s="1">
        <v>2</v>
      </c>
      <c r="BJ288" s="1">
        <v>1</v>
      </c>
      <c r="BK288" s="1">
        <v>1</v>
      </c>
    </row>
    <row r="289" spans="1:63" s="1" customFormat="1" x14ac:dyDescent="0.25">
      <c r="A289" s="1" t="str">
        <f t="shared" si="17"/>
        <v>اینتر کولر و رابط سوپر قطر114/102 ضخامت 5 4لایه 185میلی متر</v>
      </c>
      <c r="B289" s="1">
        <v>1</v>
      </c>
      <c r="C289" s="1" t="s">
        <v>165</v>
      </c>
      <c r="D289" s="1" t="s">
        <v>28</v>
      </c>
      <c r="E289" s="2" t="s">
        <v>167</v>
      </c>
      <c r="F289" s="1">
        <v>1</v>
      </c>
      <c r="G289" s="1">
        <v>1</v>
      </c>
      <c r="L289" s="1" t="s">
        <v>30</v>
      </c>
      <c r="M289" s="1">
        <v>5</v>
      </c>
      <c r="N289" s="1">
        <v>1</v>
      </c>
      <c r="O289" s="1">
        <v>1</v>
      </c>
      <c r="P289" s="1" t="s">
        <v>31</v>
      </c>
      <c r="Q289" s="1">
        <v>4</v>
      </c>
      <c r="R289" s="1">
        <v>1</v>
      </c>
      <c r="S289" s="1">
        <v>1</v>
      </c>
      <c r="X289" s="1" t="s">
        <v>34</v>
      </c>
      <c r="Y289" s="1" t="s">
        <v>141</v>
      </c>
      <c r="Z289" s="1">
        <v>1</v>
      </c>
      <c r="AA289" s="1">
        <v>1</v>
      </c>
      <c r="AB289" s="20" t="s">
        <v>169</v>
      </c>
      <c r="AC289" s="1">
        <v>185</v>
      </c>
      <c r="AD289" s="1">
        <v>1</v>
      </c>
      <c r="AE289" s="1">
        <v>1</v>
      </c>
      <c r="BH289" s="1" t="s">
        <v>174</v>
      </c>
      <c r="BI289" s="1">
        <v>3</v>
      </c>
      <c r="BJ289" s="1">
        <v>1</v>
      </c>
      <c r="BK289" s="1">
        <v>1</v>
      </c>
    </row>
    <row r="290" spans="1:63" s="1" customFormat="1" x14ac:dyDescent="0.25">
      <c r="A290" s="1" t="str">
        <f t="shared" si="17"/>
        <v>اینتر کولر و رابط سوپر قطر76 ضخامت  لایه 245میلی متر</v>
      </c>
      <c r="B290" s="1">
        <v>1</v>
      </c>
      <c r="C290" s="1" t="s">
        <v>165</v>
      </c>
      <c r="D290" s="1" t="s">
        <v>28</v>
      </c>
      <c r="E290" s="1">
        <v>76</v>
      </c>
      <c r="F290" s="1">
        <v>1</v>
      </c>
      <c r="G290" s="1">
        <v>1</v>
      </c>
      <c r="AB290" s="20" t="s">
        <v>169</v>
      </c>
      <c r="AC290" s="1">
        <v>245</v>
      </c>
      <c r="AD290" s="1">
        <v>1</v>
      </c>
      <c r="AE290" s="1">
        <v>1</v>
      </c>
    </row>
    <row r="291" spans="1:63" s="1" customFormat="1" x14ac:dyDescent="0.25">
      <c r="A291" s="1" t="str">
        <f t="shared" si="17"/>
        <v>اینتر کولر و رابط سوپر قطر80 ضخامت  لایه 390میلی متر</v>
      </c>
      <c r="B291" s="1">
        <v>1</v>
      </c>
      <c r="C291" s="1" t="s">
        <v>165</v>
      </c>
      <c r="D291" s="1" t="s">
        <v>28</v>
      </c>
      <c r="E291" s="1">
        <v>80</v>
      </c>
      <c r="F291" s="1">
        <v>1</v>
      </c>
      <c r="G291" s="1">
        <v>1</v>
      </c>
      <c r="AB291" s="20" t="s">
        <v>169</v>
      </c>
      <c r="AC291" s="1">
        <v>390</v>
      </c>
      <c r="AD291" s="1">
        <v>1</v>
      </c>
      <c r="AE291" s="1">
        <v>1</v>
      </c>
    </row>
    <row r="292" spans="1:63" s="1" customFormat="1" x14ac:dyDescent="0.25">
      <c r="A292" s="1" t="str">
        <f t="shared" si="17"/>
        <v>اینتر کولر و رابط سوپر قطر102 ضخامت  لایه 148میلی متر</v>
      </c>
      <c r="B292" s="1">
        <v>1</v>
      </c>
      <c r="C292" s="1" t="s">
        <v>165</v>
      </c>
      <c r="D292" s="1" t="s">
        <v>28</v>
      </c>
      <c r="E292" s="1">
        <v>102</v>
      </c>
      <c r="F292" s="1">
        <v>1</v>
      </c>
      <c r="G292" s="1">
        <v>1</v>
      </c>
      <c r="AB292" s="20" t="s">
        <v>169</v>
      </c>
      <c r="AC292" s="1">
        <v>148</v>
      </c>
      <c r="AD292" s="1">
        <v>1</v>
      </c>
      <c r="AE292" s="1">
        <v>1</v>
      </c>
    </row>
    <row r="293" spans="1:63" s="3" customFormat="1" x14ac:dyDescent="0.25">
      <c r="A293" s="3" t="str">
        <f>"رابط های مستقیم" &amp;" " &amp;"قطر"&amp; E293 &amp;" "&amp;"ارتفاع"&amp;I293&amp;" "&amp; "ضخامت "&amp; M293 &amp;" "&amp;Q293 &amp; "لایه"&amp;" "&amp; AC293 &amp;"متری"</f>
        <v>رابط های مستقیم قطر16 ارتفاع76 ضخامت 4 3لایه متری</v>
      </c>
      <c r="B293" s="3">
        <v>1</v>
      </c>
      <c r="C293" s="3" t="s">
        <v>175</v>
      </c>
      <c r="D293" s="3" t="s">
        <v>28</v>
      </c>
      <c r="E293" s="3">
        <v>16</v>
      </c>
      <c r="F293" s="3">
        <v>1</v>
      </c>
      <c r="G293" s="3">
        <v>1</v>
      </c>
      <c r="H293" s="3" t="s">
        <v>182</v>
      </c>
      <c r="I293" s="3">
        <v>76</v>
      </c>
      <c r="J293" s="3">
        <v>1</v>
      </c>
      <c r="K293" s="3">
        <v>1</v>
      </c>
      <c r="L293" s="3" t="s">
        <v>181</v>
      </c>
      <c r="M293" s="3">
        <v>4</v>
      </c>
      <c r="N293" s="3">
        <v>1</v>
      </c>
      <c r="O293" s="3">
        <v>1</v>
      </c>
      <c r="P293" s="3" t="s">
        <v>31</v>
      </c>
      <c r="Q293" s="3">
        <v>3</v>
      </c>
      <c r="R293" s="3">
        <v>1</v>
      </c>
      <c r="S293" s="3">
        <v>1</v>
      </c>
      <c r="T293" s="3" t="s">
        <v>32</v>
      </c>
      <c r="U293" s="3" t="s">
        <v>108</v>
      </c>
      <c r="V293" s="3">
        <v>1</v>
      </c>
      <c r="W293" s="3">
        <v>1</v>
      </c>
      <c r="X293" s="3" t="s">
        <v>34</v>
      </c>
      <c r="Y293" s="3" t="s">
        <v>35</v>
      </c>
      <c r="Z293" s="3">
        <v>1</v>
      </c>
      <c r="AA293" s="3">
        <v>1</v>
      </c>
    </row>
    <row r="294" spans="1:63" s="3" customFormat="1" x14ac:dyDescent="0.25">
      <c r="A294" s="3" t="str">
        <f t="shared" ref="A294:A313" si="18">"رابط های مستقیم" &amp;" " &amp;"قطر"&amp; E294 &amp;" "&amp;"ارتفاع"&amp;I294&amp;" "&amp; "ضخامت "&amp; M294 &amp;" "&amp;Q294 &amp; "لایه"&amp;" "&amp; AC294 &amp;"متری"</f>
        <v>رابط های مستقیم قطر32 ارتفاع50 ضخامت 4 3لایه متری</v>
      </c>
      <c r="B294" s="3">
        <v>1</v>
      </c>
      <c r="C294" s="3" t="s">
        <v>175</v>
      </c>
      <c r="D294" s="3" t="s">
        <v>28</v>
      </c>
      <c r="E294" s="3">
        <v>32</v>
      </c>
      <c r="F294" s="3">
        <v>1</v>
      </c>
      <c r="G294" s="3">
        <v>1</v>
      </c>
      <c r="H294" s="3" t="s">
        <v>182</v>
      </c>
      <c r="I294" s="3">
        <v>50</v>
      </c>
      <c r="J294" s="3">
        <v>1</v>
      </c>
      <c r="K294" s="3">
        <v>1</v>
      </c>
      <c r="L294" s="3" t="s">
        <v>181</v>
      </c>
      <c r="M294" s="3">
        <v>4</v>
      </c>
      <c r="N294" s="3">
        <v>1</v>
      </c>
      <c r="O294" s="3">
        <v>1</v>
      </c>
      <c r="P294" s="3" t="s">
        <v>31</v>
      </c>
      <c r="Q294" s="3">
        <v>3</v>
      </c>
      <c r="R294" s="3">
        <v>1</v>
      </c>
      <c r="S294" s="3">
        <v>1</v>
      </c>
      <c r="T294" s="3" t="s">
        <v>32</v>
      </c>
      <c r="U294" s="3" t="s">
        <v>108</v>
      </c>
      <c r="V294" s="3">
        <v>1</v>
      </c>
      <c r="W294" s="3">
        <v>1</v>
      </c>
      <c r="X294" s="3" t="s">
        <v>34</v>
      </c>
      <c r="Y294" s="3" t="s">
        <v>183</v>
      </c>
      <c r="Z294" s="3">
        <v>1</v>
      </c>
      <c r="AA294" s="3">
        <v>1</v>
      </c>
    </row>
    <row r="295" spans="1:63" s="3" customFormat="1" x14ac:dyDescent="0.25">
      <c r="A295" s="3" t="str">
        <f t="shared" si="18"/>
        <v>رابط های مستقیم قطر38 ارتفاع50 ضخامت 5 4لایه متری</v>
      </c>
      <c r="B295" s="3">
        <v>1</v>
      </c>
      <c r="C295" s="3" t="s">
        <v>175</v>
      </c>
      <c r="D295" s="3" t="s">
        <v>28</v>
      </c>
      <c r="E295" s="3">
        <v>38</v>
      </c>
      <c r="F295" s="3">
        <v>1</v>
      </c>
      <c r="G295" s="3">
        <v>1</v>
      </c>
      <c r="H295" s="3" t="s">
        <v>182</v>
      </c>
      <c r="I295" s="3">
        <v>50</v>
      </c>
      <c r="J295" s="3">
        <v>1</v>
      </c>
      <c r="K295" s="3">
        <v>1</v>
      </c>
      <c r="L295" s="3" t="s">
        <v>181</v>
      </c>
      <c r="M295" s="3">
        <v>5</v>
      </c>
      <c r="N295" s="3">
        <v>1</v>
      </c>
      <c r="O295" s="3">
        <v>1</v>
      </c>
      <c r="P295" s="3" t="s">
        <v>31</v>
      </c>
      <c r="Q295" s="3">
        <v>4</v>
      </c>
      <c r="R295" s="3">
        <v>1</v>
      </c>
      <c r="S295" s="3">
        <v>1</v>
      </c>
      <c r="T295" s="3" t="s">
        <v>32</v>
      </c>
      <c r="U295" s="3" t="s">
        <v>108</v>
      </c>
      <c r="V295" s="3">
        <v>1</v>
      </c>
      <c r="W295" s="3">
        <v>1</v>
      </c>
      <c r="X295" s="3" t="s">
        <v>34</v>
      </c>
      <c r="Y295" s="3" t="s">
        <v>183</v>
      </c>
      <c r="Z295" s="3">
        <v>1</v>
      </c>
      <c r="AA295" s="3">
        <v>1</v>
      </c>
    </row>
    <row r="296" spans="1:63" s="3" customFormat="1" x14ac:dyDescent="0.25">
      <c r="A296" s="3" t="str">
        <f t="shared" si="18"/>
        <v>رابط های مستقیم قطر45 ارتفاع85 ضخامت 5 4لایه متری</v>
      </c>
      <c r="B296" s="3">
        <v>1</v>
      </c>
      <c r="C296" s="3" t="s">
        <v>175</v>
      </c>
      <c r="D296" s="3" t="s">
        <v>28</v>
      </c>
      <c r="E296" s="3">
        <v>45</v>
      </c>
      <c r="F296" s="3">
        <v>1</v>
      </c>
      <c r="G296" s="3">
        <v>1</v>
      </c>
      <c r="H296" s="3" t="s">
        <v>182</v>
      </c>
      <c r="I296" s="3">
        <v>85</v>
      </c>
      <c r="J296" s="3">
        <v>1</v>
      </c>
      <c r="K296" s="3">
        <v>1</v>
      </c>
      <c r="L296" s="3" t="s">
        <v>181</v>
      </c>
      <c r="M296" s="3">
        <v>5</v>
      </c>
      <c r="N296" s="3">
        <v>1</v>
      </c>
      <c r="O296" s="3">
        <v>1</v>
      </c>
      <c r="P296" s="3" t="s">
        <v>31</v>
      </c>
      <c r="Q296" s="3">
        <v>4</v>
      </c>
      <c r="R296" s="3">
        <v>1</v>
      </c>
      <c r="S296" s="3">
        <v>1</v>
      </c>
      <c r="T296" s="3" t="s">
        <v>32</v>
      </c>
      <c r="U296" s="3" t="s">
        <v>108</v>
      </c>
      <c r="V296" s="3">
        <v>1</v>
      </c>
      <c r="W296" s="3">
        <v>1</v>
      </c>
      <c r="X296" s="3" t="s">
        <v>34</v>
      </c>
      <c r="Y296" s="3" t="s">
        <v>184</v>
      </c>
      <c r="Z296" s="3">
        <v>1</v>
      </c>
      <c r="AA296" s="3">
        <v>1</v>
      </c>
    </row>
    <row r="297" spans="1:63" s="3" customFormat="1" x14ac:dyDescent="0.25">
      <c r="A297" s="3" t="str">
        <f t="shared" si="18"/>
        <v>رابط های مستقیم قطر45 ارتفاع100 ضخامت 5 4لایه متری</v>
      </c>
      <c r="B297" s="3">
        <v>1</v>
      </c>
      <c r="C297" s="3" t="s">
        <v>175</v>
      </c>
      <c r="D297" s="3" t="s">
        <v>28</v>
      </c>
      <c r="E297" s="3">
        <v>45</v>
      </c>
      <c r="F297" s="3">
        <v>1</v>
      </c>
      <c r="G297" s="3">
        <v>1</v>
      </c>
      <c r="H297" s="3" t="s">
        <v>182</v>
      </c>
      <c r="I297" s="3">
        <v>100</v>
      </c>
      <c r="J297" s="3">
        <v>1</v>
      </c>
      <c r="K297" s="3">
        <v>1</v>
      </c>
      <c r="L297" s="3" t="s">
        <v>181</v>
      </c>
      <c r="M297" s="3">
        <v>5</v>
      </c>
      <c r="N297" s="3">
        <v>1</v>
      </c>
      <c r="O297" s="3">
        <v>1</v>
      </c>
      <c r="P297" s="3" t="s">
        <v>31</v>
      </c>
      <c r="Q297" s="3">
        <v>4</v>
      </c>
      <c r="R297" s="3">
        <v>1</v>
      </c>
      <c r="S297" s="3">
        <v>1</v>
      </c>
      <c r="T297" s="3" t="s">
        <v>32</v>
      </c>
      <c r="U297" s="3" t="s">
        <v>108</v>
      </c>
      <c r="V297" s="3">
        <v>1</v>
      </c>
      <c r="W297" s="3">
        <v>1</v>
      </c>
      <c r="X297" s="3" t="s">
        <v>34</v>
      </c>
      <c r="Y297" s="3" t="s">
        <v>183</v>
      </c>
      <c r="Z297" s="3">
        <v>1</v>
      </c>
      <c r="AA297" s="3">
        <v>1</v>
      </c>
    </row>
    <row r="298" spans="1:63" s="3" customFormat="1" x14ac:dyDescent="0.25">
      <c r="A298" s="3" t="str">
        <f t="shared" si="18"/>
        <v>رابط های مستقیم قطر51/40 ارتفاع200 ضخامت 5 4لایه متری</v>
      </c>
      <c r="B298" s="3">
        <v>1</v>
      </c>
      <c r="C298" s="3" t="s">
        <v>175</v>
      </c>
      <c r="D298" s="3" t="s">
        <v>28</v>
      </c>
      <c r="E298" s="21" t="s">
        <v>38</v>
      </c>
      <c r="F298" s="3">
        <v>1</v>
      </c>
      <c r="G298" s="3">
        <v>1</v>
      </c>
      <c r="H298" s="3" t="s">
        <v>182</v>
      </c>
      <c r="I298" s="3">
        <v>200</v>
      </c>
      <c r="J298" s="3">
        <v>1</v>
      </c>
      <c r="K298" s="3">
        <v>1</v>
      </c>
      <c r="L298" s="3" t="s">
        <v>181</v>
      </c>
      <c r="M298" s="3">
        <v>5</v>
      </c>
      <c r="N298" s="3">
        <v>1</v>
      </c>
      <c r="O298" s="3">
        <v>1</v>
      </c>
      <c r="P298" s="3" t="s">
        <v>31</v>
      </c>
      <c r="Q298" s="3">
        <v>4</v>
      </c>
      <c r="R298" s="3">
        <v>1</v>
      </c>
      <c r="S298" s="3">
        <v>1</v>
      </c>
      <c r="T298" s="3" t="s">
        <v>32</v>
      </c>
      <c r="U298" s="3" t="s">
        <v>108</v>
      </c>
      <c r="V298" s="3">
        <v>1</v>
      </c>
      <c r="W298" s="3">
        <v>1</v>
      </c>
      <c r="X298" s="3" t="s">
        <v>34</v>
      </c>
      <c r="Y298" s="3" t="s">
        <v>183</v>
      </c>
      <c r="Z298" s="3">
        <v>1</v>
      </c>
      <c r="AA298" s="3">
        <v>1</v>
      </c>
    </row>
    <row r="299" spans="1:63" s="3" customFormat="1" x14ac:dyDescent="0.25">
      <c r="A299" s="3" t="str">
        <f t="shared" si="18"/>
        <v>رابط های مستقیم قطر51 ارتفاع76 ضخامت 8 6لایه متری</v>
      </c>
      <c r="B299" s="3">
        <v>1</v>
      </c>
      <c r="C299" s="3" t="s">
        <v>175</v>
      </c>
      <c r="D299" s="3" t="s">
        <v>28</v>
      </c>
      <c r="E299" s="3">
        <v>51</v>
      </c>
      <c r="F299" s="3">
        <v>1</v>
      </c>
      <c r="G299" s="3">
        <v>1</v>
      </c>
      <c r="H299" s="3" t="s">
        <v>182</v>
      </c>
      <c r="I299" s="3">
        <v>76</v>
      </c>
      <c r="J299" s="3">
        <v>1</v>
      </c>
      <c r="K299" s="3">
        <v>1</v>
      </c>
      <c r="L299" s="3" t="s">
        <v>181</v>
      </c>
      <c r="M299" s="3">
        <v>8</v>
      </c>
      <c r="N299" s="3">
        <v>1</v>
      </c>
      <c r="O299" s="3">
        <v>1</v>
      </c>
      <c r="P299" s="3" t="s">
        <v>31</v>
      </c>
      <c r="Q299" s="3">
        <v>6</v>
      </c>
      <c r="R299" s="3">
        <v>1</v>
      </c>
      <c r="S299" s="3">
        <v>1</v>
      </c>
      <c r="T299" s="3" t="s">
        <v>32</v>
      </c>
      <c r="U299" s="3" t="s">
        <v>108</v>
      </c>
      <c r="V299" s="3">
        <v>1</v>
      </c>
      <c r="W299" s="3">
        <v>1</v>
      </c>
      <c r="X299" s="3" t="s">
        <v>34</v>
      </c>
      <c r="Y299" s="3" t="s">
        <v>35</v>
      </c>
      <c r="Z299" s="3">
        <v>1</v>
      </c>
      <c r="AA299" s="3">
        <v>1</v>
      </c>
    </row>
    <row r="300" spans="1:63" s="3" customFormat="1" x14ac:dyDescent="0.25">
      <c r="A300" s="3" t="str">
        <f t="shared" si="18"/>
        <v>رابط های مستقیم قطر51 ارتفاع76 ضخامت 5 4لایه متری</v>
      </c>
      <c r="B300" s="3">
        <v>1</v>
      </c>
      <c r="C300" s="3" t="s">
        <v>175</v>
      </c>
      <c r="D300" s="3" t="s">
        <v>28</v>
      </c>
      <c r="E300" s="3">
        <v>51</v>
      </c>
      <c r="F300" s="3">
        <v>1</v>
      </c>
      <c r="G300" s="3">
        <v>1</v>
      </c>
      <c r="H300" s="3" t="s">
        <v>182</v>
      </c>
      <c r="I300" s="3">
        <v>76</v>
      </c>
      <c r="J300" s="3">
        <v>1</v>
      </c>
      <c r="K300" s="3">
        <v>1</v>
      </c>
      <c r="L300" s="3" t="s">
        <v>181</v>
      </c>
      <c r="M300" s="3">
        <v>5</v>
      </c>
      <c r="N300" s="3">
        <v>1</v>
      </c>
      <c r="O300" s="3">
        <v>1</v>
      </c>
      <c r="P300" s="3" t="s">
        <v>31</v>
      </c>
      <c r="Q300" s="3">
        <v>4</v>
      </c>
      <c r="R300" s="3">
        <v>1</v>
      </c>
      <c r="S300" s="3">
        <v>1</v>
      </c>
      <c r="T300" s="3" t="s">
        <v>32</v>
      </c>
      <c r="U300" s="3" t="s">
        <v>108</v>
      </c>
      <c r="V300" s="3">
        <v>1</v>
      </c>
      <c r="W300" s="3">
        <v>1</v>
      </c>
      <c r="X300" s="3" t="s">
        <v>34</v>
      </c>
      <c r="Y300" s="3" t="s">
        <v>183</v>
      </c>
      <c r="Z300" s="3">
        <v>1</v>
      </c>
      <c r="AA300" s="3">
        <v>1</v>
      </c>
    </row>
    <row r="301" spans="1:63" s="3" customFormat="1" x14ac:dyDescent="0.25">
      <c r="A301" s="3" t="str">
        <f t="shared" si="18"/>
        <v>رابط های مستقیم قطر60/51 ارتفاع170 ضخامت 5 4لایه متری</v>
      </c>
      <c r="B301" s="3">
        <v>1</v>
      </c>
      <c r="C301" s="3" t="s">
        <v>175</v>
      </c>
      <c r="D301" s="3" t="s">
        <v>28</v>
      </c>
      <c r="E301" s="21" t="s">
        <v>39</v>
      </c>
      <c r="F301" s="3">
        <v>1</v>
      </c>
      <c r="G301" s="3">
        <v>1</v>
      </c>
      <c r="H301" s="3" t="s">
        <v>182</v>
      </c>
      <c r="I301" s="3">
        <v>170</v>
      </c>
      <c r="J301" s="3">
        <v>1</v>
      </c>
      <c r="K301" s="3">
        <v>1</v>
      </c>
      <c r="L301" s="3" t="s">
        <v>181</v>
      </c>
      <c r="M301" s="3">
        <v>5</v>
      </c>
      <c r="N301" s="3">
        <v>1</v>
      </c>
      <c r="O301" s="3">
        <v>1</v>
      </c>
      <c r="P301" s="3" t="s">
        <v>31</v>
      </c>
      <c r="Q301" s="3">
        <v>4</v>
      </c>
      <c r="R301" s="3">
        <v>1</v>
      </c>
      <c r="S301" s="3">
        <v>1</v>
      </c>
      <c r="T301" s="3" t="s">
        <v>32</v>
      </c>
      <c r="U301" s="3" t="s">
        <v>108</v>
      </c>
      <c r="V301" s="3">
        <v>1</v>
      </c>
      <c r="W301" s="3">
        <v>1</v>
      </c>
      <c r="X301" s="3" t="s">
        <v>34</v>
      </c>
      <c r="Y301" s="3" t="s">
        <v>183</v>
      </c>
      <c r="Z301" s="3">
        <v>1</v>
      </c>
      <c r="AA301" s="3">
        <v>1</v>
      </c>
    </row>
    <row r="302" spans="1:63" s="3" customFormat="1" x14ac:dyDescent="0.25">
      <c r="A302" s="3" t="str">
        <f t="shared" si="18"/>
        <v>رابط های مستقیم قطر60/51 ارتفاع250 ضخامت 5 4لایه متری</v>
      </c>
      <c r="B302" s="3">
        <v>1</v>
      </c>
      <c r="C302" s="3" t="s">
        <v>175</v>
      </c>
      <c r="D302" s="3" t="s">
        <v>28</v>
      </c>
      <c r="E302" s="21" t="s">
        <v>39</v>
      </c>
      <c r="F302" s="3">
        <v>1</v>
      </c>
      <c r="G302" s="3">
        <v>1</v>
      </c>
      <c r="H302" s="3" t="s">
        <v>182</v>
      </c>
      <c r="I302" s="3">
        <v>250</v>
      </c>
      <c r="J302" s="3">
        <v>1</v>
      </c>
      <c r="K302" s="3">
        <v>1</v>
      </c>
      <c r="L302" s="3" t="s">
        <v>181</v>
      </c>
      <c r="M302" s="3">
        <v>5</v>
      </c>
      <c r="N302" s="3">
        <v>1</v>
      </c>
      <c r="O302" s="3">
        <v>1</v>
      </c>
      <c r="P302" s="3" t="s">
        <v>31</v>
      </c>
      <c r="Q302" s="3">
        <v>4</v>
      </c>
      <c r="R302" s="3">
        <v>1</v>
      </c>
      <c r="S302" s="3">
        <v>1</v>
      </c>
      <c r="T302" s="3" t="s">
        <v>32</v>
      </c>
      <c r="U302" s="3" t="s">
        <v>108</v>
      </c>
      <c r="V302" s="3">
        <v>1</v>
      </c>
      <c r="W302" s="3">
        <v>1</v>
      </c>
      <c r="X302" s="3" t="s">
        <v>34</v>
      </c>
      <c r="Y302" s="3" t="s">
        <v>183</v>
      </c>
      <c r="Z302" s="3">
        <v>1</v>
      </c>
      <c r="AA302" s="3">
        <v>1</v>
      </c>
    </row>
    <row r="303" spans="1:63" s="3" customFormat="1" x14ac:dyDescent="0.25">
      <c r="A303" s="3" t="str">
        <f t="shared" si="18"/>
        <v>رابط های مستقیم قطر63 ارتفاع120 ضخامت 5 4لایه متری</v>
      </c>
      <c r="B303" s="3">
        <v>1</v>
      </c>
      <c r="C303" s="3" t="s">
        <v>175</v>
      </c>
      <c r="D303" s="3" t="s">
        <v>28</v>
      </c>
      <c r="E303" s="3">
        <v>63</v>
      </c>
      <c r="F303" s="3">
        <v>1</v>
      </c>
      <c r="G303" s="3">
        <v>1</v>
      </c>
      <c r="H303" s="3" t="s">
        <v>182</v>
      </c>
      <c r="I303" s="3">
        <v>120</v>
      </c>
      <c r="J303" s="3">
        <v>1</v>
      </c>
      <c r="K303" s="3">
        <v>1</v>
      </c>
      <c r="L303" s="3" t="s">
        <v>181</v>
      </c>
      <c r="M303" s="3">
        <v>5</v>
      </c>
      <c r="N303" s="3">
        <v>1</v>
      </c>
      <c r="O303" s="3">
        <v>1</v>
      </c>
      <c r="P303" s="3" t="s">
        <v>31</v>
      </c>
      <c r="Q303" s="3">
        <v>4</v>
      </c>
      <c r="R303" s="3">
        <v>1</v>
      </c>
      <c r="S303" s="3">
        <v>1</v>
      </c>
      <c r="T303" s="3" t="s">
        <v>32</v>
      </c>
      <c r="U303" s="3" t="s">
        <v>108</v>
      </c>
      <c r="V303" s="3">
        <v>1</v>
      </c>
      <c r="W303" s="3">
        <v>1</v>
      </c>
      <c r="X303" s="3" t="s">
        <v>34</v>
      </c>
      <c r="Y303" s="3" t="s">
        <v>183</v>
      </c>
      <c r="Z303" s="3">
        <v>1</v>
      </c>
      <c r="AA303" s="3">
        <v>1</v>
      </c>
    </row>
    <row r="304" spans="1:63" s="3" customFormat="1" x14ac:dyDescent="0.25">
      <c r="A304" s="3" t="str">
        <f t="shared" si="18"/>
        <v>رابط های مستقیم قطر63 ارتفاع145 ضخامت 6 5لایه متری</v>
      </c>
      <c r="B304" s="3">
        <v>1</v>
      </c>
      <c r="C304" s="3" t="s">
        <v>175</v>
      </c>
      <c r="D304" s="3" t="s">
        <v>28</v>
      </c>
      <c r="E304" s="3">
        <v>63</v>
      </c>
      <c r="F304" s="3">
        <v>1</v>
      </c>
      <c r="G304" s="3">
        <v>1</v>
      </c>
      <c r="H304" s="3" t="s">
        <v>182</v>
      </c>
      <c r="I304" s="3">
        <v>145</v>
      </c>
      <c r="J304" s="3">
        <v>1</v>
      </c>
      <c r="K304" s="3">
        <v>1</v>
      </c>
      <c r="L304" s="3" t="s">
        <v>181</v>
      </c>
      <c r="M304" s="3">
        <v>6</v>
      </c>
      <c r="N304" s="3">
        <v>1</v>
      </c>
      <c r="O304" s="3">
        <v>1</v>
      </c>
      <c r="P304" s="3" t="s">
        <v>31</v>
      </c>
      <c r="Q304" s="3">
        <v>5</v>
      </c>
      <c r="R304" s="3">
        <v>1</v>
      </c>
      <c r="S304" s="3">
        <v>1</v>
      </c>
      <c r="T304" s="3" t="s">
        <v>32</v>
      </c>
      <c r="U304" s="3" t="s">
        <v>108</v>
      </c>
      <c r="V304" s="3">
        <v>1</v>
      </c>
      <c r="W304" s="3">
        <v>1</v>
      </c>
      <c r="X304" s="3" t="s">
        <v>34</v>
      </c>
      <c r="Y304" s="3" t="s">
        <v>183</v>
      </c>
      <c r="Z304" s="3">
        <v>1</v>
      </c>
      <c r="AA304" s="3">
        <v>1</v>
      </c>
    </row>
    <row r="305" spans="1:31" s="3" customFormat="1" x14ac:dyDescent="0.25">
      <c r="A305" s="3" t="str">
        <f t="shared" si="18"/>
        <v>رابط های مستقیم قطر80 ارتفاع100 ضخامت 5 4لایه متری</v>
      </c>
      <c r="B305" s="3">
        <v>1</v>
      </c>
      <c r="C305" s="3" t="s">
        <v>175</v>
      </c>
      <c r="D305" s="3" t="s">
        <v>28</v>
      </c>
      <c r="E305" s="3">
        <v>80</v>
      </c>
      <c r="F305" s="3">
        <v>1</v>
      </c>
      <c r="G305" s="3">
        <v>1</v>
      </c>
      <c r="H305" s="3" t="s">
        <v>182</v>
      </c>
      <c r="I305" s="3">
        <v>100</v>
      </c>
      <c r="J305" s="3">
        <v>1</v>
      </c>
      <c r="K305" s="3">
        <v>1</v>
      </c>
      <c r="L305" s="3" t="s">
        <v>181</v>
      </c>
      <c r="M305" s="3">
        <v>5</v>
      </c>
      <c r="N305" s="3">
        <v>1</v>
      </c>
      <c r="O305" s="3">
        <v>1</v>
      </c>
      <c r="P305" s="3" t="s">
        <v>31</v>
      </c>
      <c r="Q305" s="3">
        <v>4</v>
      </c>
      <c r="R305" s="3">
        <v>1</v>
      </c>
      <c r="S305" s="3">
        <v>1</v>
      </c>
      <c r="T305" s="3" t="s">
        <v>32</v>
      </c>
      <c r="U305" s="3" t="s">
        <v>108</v>
      </c>
      <c r="V305" s="3">
        <v>1</v>
      </c>
      <c r="W305" s="3">
        <v>1</v>
      </c>
      <c r="X305" s="3" t="s">
        <v>34</v>
      </c>
      <c r="Y305" s="3" t="s">
        <v>183</v>
      </c>
      <c r="Z305" s="3">
        <v>1</v>
      </c>
      <c r="AA305" s="3">
        <v>1</v>
      </c>
    </row>
    <row r="306" spans="1:31" s="3" customFormat="1" x14ac:dyDescent="0.25">
      <c r="A306" s="3" t="str">
        <f t="shared" si="18"/>
        <v>رابط های مستقیم قطر80/76 ارتفاع130 ضخامت 6 5لایه متری</v>
      </c>
      <c r="B306" s="3">
        <v>1</v>
      </c>
      <c r="C306" s="3" t="s">
        <v>175</v>
      </c>
      <c r="D306" s="3" t="s">
        <v>28</v>
      </c>
      <c r="E306" s="21" t="s">
        <v>176</v>
      </c>
      <c r="F306" s="3">
        <v>1</v>
      </c>
      <c r="G306" s="3">
        <v>1</v>
      </c>
      <c r="H306" s="3" t="s">
        <v>182</v>
      </c>
      <c r="I306" s="3">
        <v>130</v>
      </c>
      <c r="J306" s="3">
        <v>1</v>
      </c>
      <c r="K306" s="3">
        <v>1</v>
      </c>
      <c r="L306" s="3" t="s">
        <v>181</v>
      </c>
      <c r="M306" s="3">
        <v>6</v>
      </c>
      <c r="N306" s="3">
        <v>1</v>
      </c>
      <c r="O306" s="3">
        <v>1</v>
      </c>
      <c r="P306" s="3" t="s">
        <v>31</v>
      </c>
      <c r="Q306" s="3">
        <v>5</v>
      </c>
      <c r="R306" s="3">
        <v>1</v>
      </c>
      <c r="S306" s="3">
        <v>1</v>
      </c>
      <c r="T306" s="3" t="s">
        <v>32</v>
      </c>
      <c r="U306" s="3" t="s">
        <v>108</v>
      </c>
      <c r="V306" s="3">
        <v>1</v>
      </c>
      <c r="W306" s="3">
        <v>1</v>
      </c>
      <c r="X306" s="3" t="s">
        <v>34</v>
      </c>
      <c r="Y306" s="3" t="s">
        <v>183</v>
      </c>
      <c r="Z306" s="3">
        <v>1</v>
      </c>
      <c r="AA306" s="3">
        <v>1</v>
      </c>
    </row>
    <row r="307" spans="1:31" s="3" customFormat="1" x14ac:dyDescent="0.25">
      <c r="A307" s="3" t="str">
        <f t="shared" si="18"/>
        <v>رابط های مستقیم قطر85/63 ارتفاع250 ضخامت 6 5لایه متری</v>
      </c>
      <c r="B307" s="3">
        <v>1</v>
      </c>
      <c r="C307" s="3" t="s">
        <v>175</v>
      </c>
      <c r="D307" s="3" t="s">
        <v>28</v>
      </c>
      <c r="E307" s="21" t="s">
        <v>177</v>
      </c>
      <c r="F307" s="3">
        <v>1</v>
      </c>
      <c r="G307" s="3">
        <v>1</v>
      </c>
      <c r="H307" s="3" t="s">
        <v>182</v>
      </c>
      <c r="I307" s="3">
        <v>250</v>
      </c>
      <c r="J307" s="3">
        <v>1</v>
      </c>
      <c r="K307" s="3">
        <v>1</v>
      </c>
      <c r="L307" s="3" t="s">
        <v>181</v>
      </c>
      <c r="M307" s="3">
        <v>6</v>
      </c>
      <c r="N307" s="3">
        <v>1</v>
      </c>
      <c r="O307" s="3">
        <v>1</v>
      </c>
      <c r="P307" s="3" t="s">
        <v>31</v>
      </c>
      <c r="Q307" s="3">
        <v>5</v>
      </c>
      <c r="R307" s="3">
        <v>1</v>
      </c>
      <c r="S307" s="3">
        <v>1</v>
      </c>
      <c r="T307" s="3" t="s">
        <v>32</v>
      </c>
      <c r="U307" s="3" t="s">
        <v>108</v>
      </c>
      <c r="V307" s="3">
        <v>1</v>
      </c>
      <c r="W307" s="3">
        <v>1</v>
      </c>
      <c r="X307" s="3" t="s">
        <v>34</v>
      </c>
      <c r="Y307" s="3" t="s">
        <v>183</v>
      </c>
      <c r="Z307" s="3">
        <v>1</v>
      </c>
      <c r="AA307" s="3">
        <v>1</v>
      </c>
    </row>
    <row r="308" spans="1:31" s="3" customFormat="1" x14ac:dyDescent="0.25">
      <c r="A308" s="3" t="str">
        <f t="shared" si="18"/>
        <v>رابط های مستقیم قطر90 ارتفاع125 ضخامت 5 4لایه متری</v>
      </c>
      <c r="B308" s="3">
        <v>1</v>
      </c>
      <c r="C308" s="3" t="s">
        <v>175</v>
      </c>
      <c r="D308" s="3" t="s">
        <v>28</v>
      </c>
      <c r="E308" s="3">
        <v>90</v>
      </c>
      <c r="F308" s="3">
        <v>1</v>
      </c>
      <c r="G308" s="3">
        <v>1</v>
      </c>
      <c r="H308" s="3" t="s">
        <v>182</v>
      </c>
      <c r="I308" s="3">
        <v>125</v>
      </c>
      <c r="J308" s="3">
        <v>1</v>
      </c>
      <c r="K308" s="3">
        <v>1</v>
      </c>
      <c r="L308" s="3" t="s">
        <v>181</v>
      </c>
      <c r="M308" s="3">
        <v>5</v>
      </c>
      <c r="N308" s="3">
        <v>1</v>
      </c>
      <c r="O308" s="3">
        <v>1</v>
      </c>
      <c r="P308" s="3" t="s">
        <v>31</v>
      </c>
      <c r="Q308" s="3">
        <v>4</v>
      </c>
      <c r="R308" s="3">
        <v>1</v>
      </c>
      <c r="S308" s="3">
        <v>1</v>
      </c>
      <c r="T308" s="3" t="s">
        <v>32</v>
      </c>
      <c r="U308" s="3" t="s">
        <v>108</v>
      </c>
      <c r="V308" s="3">
        <v>1</v>
      </c>
      <c r="W308" s="3">
        <v>1</v>
      </c>
      <c r="X308" s="3" t="s">
        <v>34</v>
      </c>
      <c r="Y308" s="3" t="s">
        <v>184</v>
      </c>
      <c r="Z308" s="3">
        <v>1</v>
      </c>
      <c r="AA308" s="3">
        <v>1</v>
      </c>
    </row>
    <row r="309" spans="1:31" s="3" customFormat="1" x14ac:dyDescent="0.25">
      <c r="A309" s="3" t="str">
        <f t="shared" si="18"/>
        <v>رابط های مستقیم قطر90/80 ارتفاع125 ضخامت 5 4لایه متری</v>
      </c>
      <c r="B309" s="3">
        <v>1</v>
      </c>
      <c r="C309" s="3" t="s">
        <v>175</v>
      </c>
      <c r="D309" s="3" t="s">
        <v>28</v>
      </c>
      <c r="E309" s="21" t="s">
        <v>178</v>
      </c>
      <c r="F309" s="3">
        <v>1</v>
      </c>
      <c r="G309" s="3">
        <v>1</v>
      </c>
      <c r="H309" s="3" t="s">
        <v>182</v>
      </c>
      <c r="I309" s="3">
        <v>125</v>
      </c>
      <c r="J309" s="3">
        <v>1</v>
      </c>
      <c r="K309" s="3">
        <v>1</v>
      </c>
      <c r="L309" s="3" t="s">
        <v>181</v>
      </c>
      <c r="M309" s="3">
        <v>5</v>
      </c>
      <c r="N309" s="3">
        <v>1</v>
      </c>
      <c r="O309" s="3">
        <v>1</v>
      </c>
      <c r="P309" s="3" t="s">
        <v>31</v>
      </c>
      <c r="Q309" s="3">
        <v>4</v>
      </c>
      <c r="R309" s="3">
        <v>1</v>
      </c>
      <c r="S309" s="3">
        <v>1</v>
      </c>
      <c r="T309" s="3" t="s">
        <v>32</v>
      </c>
      <c r="U309" s="3" t="s">
        <v>108</v>
      </c>
      <c r="V309" s="3">
        <v>1</v>
      </c>
      <c r="W309" s="3">
        <v>1</v>
      </c>
      <c r="X309" s="3" t="s">
        <v>34</v>
      </c>
      <c r="Y309" s="3" t="s">
        <v>184</v>
      </c>
      <c r="Z309" s="3">
        <v>1</v>
      </c>
      <c r="AA309" s="3">
        <v>1</v>
      </c>
    </row>
    <row r="310" spans="1:31" s="3" customFormat="1" x14ac:dyDescent="0.25">
      <c r="A310" s="3" t="str">
        <f t="shared" si="18"/>
        <v>رابط های مستقیم قطر90 ارتفاع240 ضخامت 6 5لایه متری</v>
      </c>
      <c r="B310" s="3">
        <v>1</v>
      </c>
      <c r="C310" s="3" t="s">
        <v>175</v>
      </c>
      <c r="D310" s="3" t="s">
        <v>28</v>
      </c>
      <c r="E310" s="3">
        <v>90</v>
      </c>
      <c r="F310" s="3">
        <v>1</v>
      </c>
      <c r="G310" s="3">
        <v>1</v>
      </c>
      <c r="H310" s="3" t="s">
        <v>182</v>
      </c>
      <c r="I310" s="3">
        <v>240</v>
      </c>
      <c r="J310" s="3">
        <v>1</v>
      </c>
      <c r="K310" s="3">
        <v>1</v>
      </c>
      <c r="L310" s="3" t="s">
        <v>181</v>
      </c>
      <c r="M310" s="3">
        <v>6</v>
      </c>
      <c r="N310" s="3">
        <v>1</v>
      </c>
      <c r="O310" s="3">
        <v>1</v>
      </c>
      <c r="P310" s="3" t="s">
        <v>31</v>
      </c>
      <c r="Q310" s="3">
        <v>5</v>
      </c>
      <c r="R310" s="3">
        <v>1</v>
      </c>
      <c r="S310" s="3">
        <v>1</v>
      </c>
      <c r="T310" s="3" t="s">
        <v>32</v>
      </c>
      <c r="U310" s="3" t="s">
        <v>108</v>
      </c>
      <c r="V310" s="3">
        <v>1</v>
      </c>
      <c r="W310" s="3">
        <v>1</v>
      </c>
      <c r="X310" s="3" t="s">
        <v>34</v>
      </c>
      <c r="Y310" s="3" t="s">
        <v>183</v>
      </c>
      <c r="Z310" s="3">
        <v>1</v>
      </c>
      <c r="AA310" s="3">
        <v>1</v>
      </c>
    </row>
    <row r="311" spans="1:31" s="3" customFormat="1" x14ac:dyDescent="0.25">
      <c r="A311" s="3" t="str">
        <f t="shared" si="18"/>
        <v>رابط های مستقیم قطر102/80 ارتفاع200 ضخامت 6 5لایه متری</v>
      </c>
      <c r="B311" s="3">
        <v>1</v>
      </c>
      <c r="C311" s="3" t="s">
        <v>175</v>
      </c>
      <c r="D311" s="3" t="s">
        <v>28</v>
      </c>
      <c r="E311" s="21" t="s">
        <v>179</v>
      </c>
      <c r="F311" s="3">
        <v>1</v>
      </c>
      <c r="G311" s="3">
        <v>1</v>
      </c>
      <c r="H311" s="3" t="s">
        <v>182</v>
      </c>
      <c r="I311" s="3">
        <v>200</v>
      </c>
      <c r="J311" s="3">
        <v>1</v>
      </c>
      <c r="K311" s="3">
        <v>1</v>
      </c>
      <c r="L311" s="3" t="s">
        <v>181</v>
      </c>
      <c r="M311" s="3">
        <v>6</v>
      </c>
      <c r="N311" s="3">
        <v>1</v>
      </c>
      <c r="O311" s="3">
        <v>1</v>
      </c>
      <c r="P311" s="3" t="s">
        <v>31</v>
      </c>
      <c r="Q311" s="3">
        <v>5</v>
      </c>
      <c r="R311" s="3">
        <v>1</v>
      </c>
      <c r="S311" s="3">
        <v>1</v>
      </c>
      <c r="T311" s="3" t="s">
        <v>32</v>
      </c>
      <c r="U311" s="3" t="s">
        <v>108</v>
      </c>
      <c r="V311" s="3">
        <v>1</v>
      </c>
      <c r="W311" s="3">
        <v>1</v>
      </c>
      <c r="X311" s="3" t="s">
        <v>34</v>
      </c>
      <c r="Y311" s="3" t="s">
        <v>183</v>
      </c>
      <c r="Z311" s="3">
        <v>1</v>
      </c>
      <c r="AA311" s="3">
        <v>1</v>
      </c>
    </row>
    <row r="312" spans="1:31" s="3" customFormat="1" x14ac:dyDescent="0.25">
      <c r="A312" s="3" t="str">
        <f t="shared" si="18"/>
        <v>رابط های مستقیم قطر102 ارتفاع100 ضخامت 6 5لایه متری</v>
      </c>
      <c r="B312" s="3">
        <v>1</v>
      </c>
      <c r="C312" s="3" t="s">
        <v>175</v>
      </c>
      <c r="D312" s="3" t="s">
        <v>28</v>
      </c>
      <c r="E312" s="3">
        <v>102</v>
      </c>
      <c r="F312" s="3">
        <v>1</v>
      </c>
      <c r="G312" s="3">
        <v>1</v>
      </c>
      <c r="H312" s="3" t="s">
        <v>182</v>
      </c>
      <c r="I312" s="3">
        <v>100</v>
      </c>
      <c r="J312" s="3">
        <v>1</v>
      </c>
      <c r="K312" s="3">
        <v>1</v>
      </c>
      <c r="L312" s="3" t="s">
        <v>181</v>
      </c>
      <c r="M312" s="3">
        <v>6</v>
      </c>
      <c r="N312" s="3">
        <v>1</v>
      </c>
      <c r="O312" s="3">
        <v>1</v>
      </c>
      <c r="P312" s="3" t="s">
        <v>31</v>
      </c>
      <c r="Q312" s="3">
        <v>5</v>
      </c>
      <c r="R312" s="3">
        <v>1</v>
      </c>
      <c r="S312" s="3">
        <v>1</v>
      </c>
      <c r="T312" s="3" t="s">
        <v>32</v>
      </c>
      <c r="U312" s="3" t="s">
        <v>108</v>
      </c>
      <c r="V312" s="3">
        <v>1</v>
      </c>
      <c r="W312" s="3">
        <v>1</v>
      </c>
      <c r="X312" s="3" t="s">
        <v>34</v>
      </c>
      <c r="Y312" s="3" t="s">
        <v>183</v>
      </c>
      <c r="Z312" s="3">
        <v>1</v>
      </c>
      <c r="AA312" s="3">
        <v>1</v>
      </c>
    </row>
    <row r="313" spans="1:31" s="3" customFormat="1" x14ac:dyDescent="0.25">
      <c r="A313" s="3" t="str">
        <f t="shared" si="18"/>
        <v>رابط های مستقیم قطر110/102 ارتفاع250 ضخامت 6 5لایه متری</v>
      </c>
      <c r="B313" s="3">
        <v>1</v>
      </c>
      <c r="C313" s="3" t="s">
        <v>175</v>
      </c>
      <c r="D313" s="3" t="s">
        <v>28</v>
      </c>
      <c r="E313" s="21" t="s">
        <v>180</v>
      </c>
      <c r="F313" s="3">
        <v>1</v>
      </c>
      <c r="G313" s="3">
        <v>1</v>
      </c>
      <c r="H313" s="3" t="s">
        <v>182</v>
      </c>
      <c r="I313" s="3">
        <v>250</v>
      </c>
      <c r="J313" s="3">
        <v>1</v>
      </c>
      <c r="K313" s="3">
        <v>1</v>
      </c>
      <c r="L313" s="3" t="s">
        <v>181</v>
      </c>
      <c r="M313" s="3">
        <v>6</v>
      </c>
      <c r="N313" s="3">
        <v>1</v>
      </c>
      <c r="O313" s="3">
        <v>1</v>
      </c>
      <c r="P313" s="3" t="s">
        <v>31</v>
      </c>
      <c r="Q313" s="3">
        <v>5</v>
      </c>
      <c r="R313" s="3">
        <v>1</v>
      </c>
      <c r="S313" s="3">
        <v>1</v>
      </c>
      <c r="T313" s="3" t="s">
        <v>32</v>
      </c>
      <c r="U313" s="3" t="s">
        <v>108</v>
      </c>
      <c r="V313" s="3">
        <v>1</v>
      </c>
      <c r="W313" s="3">
        <v>1</v>
      </c>
      <c r="X313" s="3" t="s">
        <v>34</v>
      </c>
      <c r="Y313" s="3" t="s">
        <v>183</v>
      </c>
      <c r="Z313" s="3">
        <v>1</v>
      </c>
      <c r="AA313" s="3">
        <v>1</v>
      </c>
    </row>
    <row r="314" spans="1:31" s="6" customFormat="1" x14ac:dyDescent="0.25">
      <c r="A314" s="6" t="str">
        <f>"خرطومی فنردار آب" &amp;" " &amp;"قطر"&amp; E314 &amp;" "&amp; M314 &amp;" "&amp; AC314 &amp;"سانتی متر"</f>
        <v>خرطومی فنردار آب قطر38  50سانتی متر</v>
      </c>
      <c r="B314" s="6">
        <v>1</v>
      </c>
      <c r="C314" s="6" t="s">
        <v>185</v>
      </c>
      <c r="D314" s="6" t="s">
        <v>28</v>
      </c>
      <c r="E314" s="6">
        <v>38</v>
      </c>
      <c r="F314" s="6">
        <v>1</v>
      </c>
      <c r="G314" s="6">
        <v>1</v>
      </c>
      <c r="T314" s="6" t="s">
        <v>32</v>
      </c>
      <c r="U314" s="22" t="s">
        <v>54</v>
      </c>
      <c r="V314" s="6">
        <v>1</v>
      </c>
      <c r="W314" s="6">
        <v>1</v>
      </c>
      <c r="AB314" s="6" t="s">
        <v>137</v>
      </c>
      <c r="AC314" s="6">
        <v>50</v>
      </c>
      <c r="AD314" s="6">
        <v>1</v>
      </c>
      <c r="AE314" s="6">
        <v>1</v>
      </c>
    </row>
    <row r="315" spans="1:31" s="6" customFormat="1" x14ac:dyDescent="0.25">
      <c r="A315" s="6" t="str">
        <f t="shared" ref="A315:A329" si="19">"خرطومی فنردار آب" &amp;" " &amp;"قطر"&amp; E315 &amp;" "&amp; "ضخامت "&amp; M315 &amp;" "&amp; AC315 &amp;"سانتی متر"</f>
        <v>خرطومی فنردار آب قطر38 ضخامت  100سانتی متر</v>
      </c>
      <c r="B315" s="6">
        <v>1</v>
      </c>
      <c r="C315" s="6" t="s">
        <v>185</v>
      </c>
      <c r="D315" s="6" t="s">
        <v>28</v>
      </c>
      <c r="E315" s="8">
        <v>38</v>
      </c>
      <c r="F315" s="6">
        <v>1</v>
      </c>
      <c r="G315" s="6">
        <v>1</v>
      </c>
      <c r="T315" s="6" t="s">
        <v>32</v>
      </c>
      <c r="U315" s="22" t="s">
        <v>54</v>
      </c>
      <c r="V315" s="6">
        <v>1</v>
      </c>
      <c r="W315" s="6">
        <v>1</v>
      </c>
      <c r="AB315" s="6" t="s">
        <v>137</v>
      </c>
      <c r="AC315" s="6">
        <v>100</v>
      </c>
      <c r="AD315" s="6">
        <v>1</v>
      </c>
      <c r="AE315" s="6">
        <v>1</v>
      </c>
    </row>
    <row r="316" spans="1:31" s="6" customFormat="1" x14ac:dyDescent="0.25">
      <c r="A316" s="6" t="str">
        <f t="shared" si="19"/>
        <v>خرطومی فنردار آب قطر45 ضخامت  50سانتی متر</v>
      </c>
      <c r="B316" s="6">
        <v>1</v>
      </c>
      <c r="C316" s="6" t="s">
        <v>185</v>
      </c>
      <c r="D316" s="6" t="s">
        <v>28</v>
      </c>
      <c r="E316" s="6">
        <v>45</v>
      </c>
      <c r="F316" s="6">
        <v>1</v>
      </c>
      <c r="G316" s="6">
        <v>1</v>
      </c>
      <c r="T316" s="6" t="s">
        <v>32</v>
      </c>
      <c r="U316" s="22" t="s">
        <v>54</v>
      </c>
      <c r="V316" s="6">
        <v>1</v>
      </c>
      <c r="W316" s="6">
        <v>1</v>
      </c>
      <c r="AB316" s="6" t="s">
        <v>137</v>
      </c>
      <c r="AC316" s="6">
        <v>50</v>
      </c>
      <c r="AD316" s="6">
        <v>1</v>
      </c>
      <c r="AE316" s="6">
        <v>1</v>
      </c>
    </row>
    <row r="317" spans="1:31" s="6" customFormat="1" x14ac:dyDescent="0.25">
      <c r="A317" s="6" t="str">
        <f t="shared" si="19"/>
        <v>خرطومی فنردار آب قطر45 ضخامت  75سانتی متر</v>
      </c>
      <c r="B317" s="6">
        <v>1</v>
      </c>
      <c r="C317" s="6" t="s">
        <v>185</v>
      </c>
      <c r="D317" s="6" t="s">
        <v>28</v>
      </c>
      <c r="E317" s="8">
        <v>45</v>
      </c>
      <c r="F317" s="6">
        <v>1</v>
      </c>
      <c r="G317" s="6">
        <v>1</v>
      </c>
      <c r="T317" s="6" t="s">
        <v>32</v>
      </c>
      <c r="U317" s="22" t="s">
        <v>54</v>
      </c>
      <c r="V317" s="6">
        <v>1</v>
      </c>
      <c r="W317" s="6">
        <v>1</v>
      </c>
      <c r="AB317" s="6" t="s">
        <v>137</v>
      </c>
      <c r="AC317" s="6">
        <v>75</v>
      </c>
      <c r="AD317" s="6">
        <v>1</v>
      </c>
      <c r="AE317" s="6">
        <v>1</v>
      </c>
    </row>
    <row r="318" spans="1:31" s="6" customFormat="1" x14ac:dyDescent="0.25">
      <c r="A318" s="6" t="str">
        <f t="shared" si="19"/>
        <v>خرطومی فنردار آب قطر45 ضخامت  100سانتی متر</v>
      </c>
      <c r="B318" s="6">
        <v>1</v>
      </c>
      <c r="C318" s="6" t="s">
        <v>185</v>
      </c>
      <c r="D318" s="6" t="s">
        <v>28</v>
      </c>
      <c r="E318" s="6">
        <v>45</v>
      </c>
      <c r="F318" s="6">
        <v>1</v>
      </c>
      <c r="G318" s="6">
        <v>1</v>
      </c>
      <c r="T318" s="6" t="s">
        <v>32</v>
      </c>
      <c r="U318" s="22" t="s">
        <v>54</v>
      </c>
      <c r="V318" s="6">
        <v>1</v>
      </c>
      <c r="W318" s="6">
        <v>1</v>
      </c>
      <c r="AB318" s="6" t="s">
        <v>137</v>
      </c>
      <c r="AC318" s="6">
        <v>100</v>
      </c>
      <c r="AD318" s="6">
        <v>1</v>
      </c>
      <c r="AE318" s="6">
        <v>1</v>
      </c>
    </row>
    <row r="319" spans="1:31" s="6" customFormat="1" x14ac:dyDescent="0.25">
      <c r="A319" s="6" t="str">
        <f t="shared" si="19"/>
        <v>خرطومی فنردار آب قطر51 ضخامت  50سانتی متر</v>
      </c>
      <c r="B319" s="6">
        <v>1</v>
      </c>
      <c r="C319" s="6" t="s">
        <v>185</v>
      </c>
      <c r="D319" s="6" t="s">
        <v>28</v>
      </c>
      <c r="E319" s="8">
        <v>51</v>
      </c>
      <c r="F319" s="6">
        <v>1</v>
      </c>
      <c r="G319" s="6">
        <v>1</v>
      </c>
      <c r="T319" s="6" t="s">
        <v>32</v>
      </c>
      <c r="U319" s="22" t="s">
        <v>54</v>
      </c>
      <c r="V319" s="6">
        <v>1</v>
      </c>
      <c r="W319" s="6">
        <v>1</v>
      </c>
      <c r="AB319" s="6" t="s">
        <v>137</v>
      </c>
      <c r="AC319" s="6">
        <v>50</v>
      </c>
      <c r="AD319" s="6">
        <v>1</v>
      </c>
      <c r="AE319" s="6">
        <v>1</v>
      </c>
    </row>
    <row r="320" spans="1:31" s="6" customFormat="1" x14ac:dyDescent="0.25">
      <c r="A320" s="6" t="str">
        <f t="shared" si="19"/>
        <v>خرطومی فنردار آب قطر51 ضخامت  75سانتی متر</v>
      </c>
      <c r="B320" s="6">
        <v>1</v>
      </c>
      <c r="C320" s="6" t="s">
        <v>185</v>
      </c>
      <c r="D320" s="6" t="s">
        <v>28</v>
      </c>
      <c r="E320" s="6">
        <v>51</v>
      </c>
      <c r="F320" s="6">
        <v>1</v>
      </c>
      <c r="G320" s="6">
        <v>1</v>
      </c>
      <c r="T320" s="6" t="s">
        <v>32</v>
      </c>
      <c r="U320" s="22" t="s">
        <v>54</v>
      </c>
      <c r="V320" s="6">
        <v>1</v>
      </c>
      <c r="W320" s="6">
        <v>1</v>
      </c>
      <c r="AB320" s="6" t="s">
        <v>137</v>
      </c>
      <c r="AC320" s="6">
        <v>75</v>
      </c>
      <c r="AD320" s="6">
        <v>1</v>
      </c>
      <c r="AE320" s="6">
        <v>1</v>
      </c>
    </row>
    <row r="321" spans="1:63" s="6" customFormat="1" x14ac:dyDescent="0.25">
      <c r="A321" s="6" t="str">
        <f t="shared" si="19"/>
        <v>خرطومی فنردار آب قطر51 ضخامت  100سانتی متر</v>
      </c>
      <c r="B321" s="6">
        <v>1</v>
      </c>
      <c r="C321" s="6" t="s">
        <v>185</v>
      </c>
      <c r="D321" s="6" t="s">
        <v>28</v>
      </c>
      <c r="E321" s="8">
        <v>51</v>
      </c>
      <c r="F321" s="6">
        <v>1</v>
      </c>
      <c r="G321" s="6">
        <v>1</v>
      </c>
      <c r="T321" s="6" t="s">
        <v>32</v>
      </c>
      <c r="U321" s="22" t="s">
        <v>54</v>
      </c>
      <c r="V321" s="6">
        <v>1</v>
      </c>
      <c r="W321" s="6">
        <v>1</v>
      </c>
      <c r="AB321" s="6" t="s">
        <v>137</v>
      </c>
      <c r="AC321" s="6">
        <v>100</v>
      </c>
      <c r="AD321" s="6">
        <v>1</v>
      </c>
      <c r="AE321" s="6">
        <v>1</v>
      </c>
    </row>
    <row r="322" spans="1:63" s="6" customFormat="1" x14ac:dyDescent="0.25">
      <c r="A322" s="6" t="str">
        <f t="shared" si="19"/>
        <v>خرطومی فنردار آب قطر57 ضخامت  75سانتی متر</v>
      </c>
      <c r="B322" s="6">
        <v>1</v>
      </c>
      <c r="C322" s="6" t="s">
        <v>185</v>
      </c>
      <c r="D322" s="6" t="s">
        <v>28</v>
      </c>
      <c r="E322" s="6">
        <v>57</v>
      </c>
      <c r="F322" s="6">
        <v>1</v>
      </c>
      <c r="G322" s="6">
        <v>1</v>
      </c>
      <c r="T322" s="6" t="s">
        <v>32</v>
      </c>
      <c r="U322" s="22" t="s">
        <v>54</v>
      </c>
      <c r="V322" s="6">
        <v>1</v>
      </c>
      <c r="W322" s="6">
        <v>1</v>
      </c>
      <c r="AB322" s="6" t="s">
        <v>137</v>
      </c>
      <c r="AC322" s="6">
        <v>75</v>
      </c>
      <c r="AD322" s="6">
        <v>1</v>
      </c>
      <c r="AE322" s="6">
        <v>1</v>
      </c>
    </row>
    <row r="323" spans="1:63" s="6" customFormat="1" x14ac:dyDescent="0.25">
      <c r="A323" s="6" t="str">
        <f t="shared" si="19"/>
        <v>خرطومی فنردار آب قطر57 ضخامت  100سانتی متر</v>
      </c>
      <c r="B323" s="6">
        <v>1</v>
      </c>
      <c r="C323" s="6" t="s">
        <v>185</v>
      </c>
      <c r="D323" s="6" t="s">
        <v>28</v>
      </c>
      <c r="E323" s="8">
        <v>57</v>
      </c>
      <c r="F323" s="6">
        <v>1</v>
      </c>
      <c r="G323" s="6">
        <v>1</v>
      </c>
      <c r="T323" s="6" t="s">
        <v>32</v>
      </c>
      <c r="U323" s="22" t="s">
        <v>54</v>
      </c>
      <c r="V323" s="6">
        <v>1</v>
      </c>
      <c r="W323" s="6">
        <v>1</v>
      </c>
      <c r="AB323" s="6" t="s">
        <v>137</v>
      </c>
      <c r="AC323" s="6">
        <v>100</v>
      </c>
      <c r="AD323" s="6">
        <v>1</v>
      </c>
      <c r="AE323" s="6">
        <v>1</v>
      </c>
    </row>
    <row r="324" spans="1:63" s="6" customFormat="1" x14ac:dyDescent="0.25">
      <c r="A324" s="6" t="str">
        <f t="shared" si="19"/>
        <v>خرطومی فنردار آب قطر60 ضخامت  75سانتی متر</v>
      </c>
      <c r="B324" s="6">
        <v>1</v>
      </c>
      <c r="C324" s="6" t="s">
        <v>185</v>
      </c>
      <c r="D324" s="6" t="s">
        <v>28</v>
      </c>
      <c r="E324" s="6">
        <v>60</v>
      </c>
      <c r="F324" s="6">
        <v>1</v>
      </c>
      <c r="G324" s="6">
        <v>1</v>
      </c>
      <c r="T324" s="6" t="s">
        <v>32</v>
      </c>
      <c r="U324" s="22" t="s">
        <v>54</v>
      </c>
      <c r="V324" s="6">
        <v>1</v>
      </c>
      <c r="W324" s="6">
        <v>1</v>
      </c>
      <c r="AB324" s="6" t="s">
        <v>137</v>
      </c>
      <c r="AC324" s="6">
        <v>75</v>
      </c>
      <c r="AD324" s="6">
        <v>1</v>
      </c>
      <c r="AE324" s="6">
        <v>1</v>
      </c>
    </row>
    <row r="325" spans="1:63" s="6" customFormat="1" x14ac:dyDescent="0.25">
      <c r="A325" s="6" t="str">
        <f t="shared" si="19"/>
        <v>خرطومی فنردار آب قطر60 ضخامت  100سانتی متر</v>
      </c>
      <c r="B325" s="6">
        <v>1</v>
      </c>
      <c r="C325" s="6" t="s">
        <v>185</v>
      </c>
      <c r="D325" s="6" t="s">
        <v>28</v>
      </c>
      <c r="E325" s="8">
        <v>60</v>
      </c>
      <c r="F325" s="6">
        <v>1</v>
      </c>
      <c r="G325" s="6">
        <v>1</v>
      </c>
      <c r="T325" s="6" t="s">
        <v>32</v>
      </c>
      <c r="U325" s="22" t="s">
        <v>54</v>
      </c>
      <c r="V325" s="6">
        <v>1</v>
      </c>
      <c r="W325" s="6">
        <v>1</v>
      </c>
      <c r="AB325" s="6" t="s">
        <v>137</v>
      </c>
      <c r="AC325" s="6">
        <v>100</v>
      </c>
      <c r="AD325" s="6">
        <v>1</v>
      </c>
      <c r="AE325" s="6">
        <v>1</v>
      </c>
    </row>
    <row r="326" spans="1:63" s="6" customFormat="1" x14ac:dyDescent="0.25">
      <c r="A326" s="6" t="str">
        <f t="shared" si="19"/>
        <v>خرطومی فنردار آب قطر63 ضخامت  75سانتی متر</v>
      </c>
      <c r="B326" s="6">
        <v>1</v>
      </c>
      <c r="C326" s="6" t="s">
        <v>185</v>
      </c>
      <c r="D326" s="6" t="s">
        <v>28</v>
      </c>
      <c r="E326" s="6">
        <v>63</v>
      </c>
      <c r="F326" s="6">
        <v>1</v>
      </c>
      <c r="G326" s="6">
        <v>1</v>
      </c>
      <c r="T326" s="6" t="s">
        <v>32</v>
      </c>
      <c r="U326" s="22" t="s">
        <v>54</v>
      </c>
      <c r="V326" s="6">
        <v>1</v>
      </c>
      <c r="W326" s="6">
        <v>1</v>
      </c>
      <c r="AB326" s="6" t="s">
        <v>137</v>
      </c>
      <c r="AC326" s="6">
        <v>75</v>
      </c>
      <c r="AD326" s="6">
        <v>1</v>
      </c>
      <c r="AE326" s="6">
        <v>1</v>
      </c>
    </row>
    <row r="327" spans="1:63" s="6" customFormat="1" x14ac:dyDescent="0.25">
      <c r="A327" s="6" t="str">
        <f t="shared" si="19"/>
        <v>خرطومی فنردار آب قطر63 ضخامت  100سانتی متر</v>
      </c>
      <c r="B327" s="6">
        <v>1</v>
      </c>
      <c r="C327" s="6" t="s">
        <v>185</v>
      </c>
      <c r="D327" s="6" t="s">
        <v>28</v>
      </c>
      <c r="E327" s="8">
        <v>63</v>
      </c>
      <c r="F327" s="6">
        <v>1</v>
      </c>
      <c r="G327" s="6">
        <v>1</v>
      </c>
      <c r="T327" s="6" t="s">
        <v>32</v>
      </c>
      <c r="U327" s="22" t="s">
        <v>54</v>
      </c>
      <c r="V327" s="6">
        <v>1</v>
      </c>
      <c r="W327" s="6">
        <v>1</v>
      </c>
      <c r="AB327" s="6" t="s">
        <v>137</v>
      </c>
      <c r="AC327" s="6">
        <v>100</v>
      </c>
      <c r="AD327" s="6">
        <v>1</v>
      </c>
      <c r="AE327" s="6">
        <v>1</v>
      </c>
    </row>
    <row r="328" spans="1:63" s="6" customFormat="1" x14ac:dyDescent="0.25">
      <c r="A328" s="6" t="str">
        <f t="shared" si="19"/>
        <v>خرطومی فنردار آب قطر76 ضخامت  75سانتی متر</v>
      </c>
      <c r="B328" s="6">
        <v>1</v>
      </c>
      <c r="C328" s="6" t="s">
        <v>185</v>
      </c>
      <c r="D328" s="6" t="s">
        <v>28</v>
      </c>
      <c r="E328" s="6">
        <v>76</v>
      </c>
      <c r="F328" s="6">
        <v>1</v>
      </c>
      <c r="G328" s="6">
        <v>1</v>
      </c>
      <c r="T328" s="6" t="s">
        <v>32</v>
      </c>
      <c r="U328" s="22" t="s">
        <v>54</v>
      </c>
      <c r="V328" s="6">
        <v>1</v>
      </c>
      <c r="W328" s="6">
        <v>1</v>
      </c>
      <c r="AB328" s="6" t="s">
        <v>137</v>
      </c>
      <c r="AC328" s="6">
        <v>75</v>
      </c>
      <c r="AD328" s="6">
        <v>1</v>
      </c>
      <c r="AE328" s="6">
        <v>1</v>
      </c>
    </row>
    <row r="329" spans="1:63" s="6" customFormat="1" x14ac:dyDescent="0.25">
      <c r="A329" s="6" t="str">
        <f t="shared" si="19"/>
        <v>خرطومی فنردار آب قطر76 ضخامت  100سانتی متر</v>
      </c>
      <c r="B329" s="6">
        <v>1</v>
      </c>
      <c r="C329" s="6" t="s">
        <v>185</v>
      </c>
      <c r="D329" s="6" t="s">
        <v>28</v>
      </c>
      <c r="E329" s="8">
        <v>76</v>
      </c>
      <c r="F329" s="6">
        <v>1</v>
      </c>
      <c r="G329" s="6">
        <v>1</v>
      </c>
      <c r="T329" s="6" t="s">
        <v>32</v>
      </c>
      <c r="U329" s="22" t="s">
        <v>54</v>
      </c>
      <c r="V329" s="6">
        <v>1</v>
      </c>
      <c r="W329" s="6">
        <v>1</v>
      </c>
      <c r="AB329" s="6" t="s">
        <v>137</v>
      </c>
      <c r="AC329" s="6">
        <v>100</v>
      </c>
      <c r="AD329" s="6">
        <v>1</v>
      </c>
      <c r="AE329" s="6">
        <v>1</v>
      </c>
    </row>
    <row r="330" spans="1:63" s="9" customFormat="1" x14ac:dyDescent="0.25">
      <c r="A330" s="9" t="str">
        <f>"خم های تقویت شده" &amp;" " &amp;"قطر"&amp; E330 &amp;" "&amp; "ضخامت"&amp;M330&amp;" "&amp; Q330&amp;"لایه" &amp;" "&amp; AC330 &amp;"سانتی متر"</f>
        <v>خم های تقویت شده قطر90 ضخامت6 5لایه 20*20سانتی متر</v>
      </c>
      <c r="B330" s="9">
        <v>1</v>
      </c>
      <c r="C330" s="9" t="s">
        <v>186</v>
      </c>
      <c r="D330" s="9" t="s">
        <v>28</v>
      </c>
      <c r="E330" s="9">
        <v>90</v>
      </c>
      <c r="F330" s="9">
        <v>1</v>
      </c>
      <c r="G330" s="9">
        <v>1</v>
      </c>
      <c r="L330" s="9" t="s">
        <v>187</v>
      </c>
      <c r="M330" s="9">
        <v>6</v>
      </c>
      <c r="N330" s="9">
        <v>1</v>
      </c>
      <c r="O330" s="9">
        <v>1</v>
      </c>
      <c r="P330" s="9" t="s">
        <v>31</v>
      </c>
      <c r="Q330" s="9">
        <v>5</v>
      </c>
      <c r="R330" s="9">
        <v>1</v>
      </c>
      <c r="S330" s="9">
        <v>1</v>
      </c>
      <c r="T330" s="9" t="s">
        <v>32</v>
      </c>
      <c r="U330" s="15" t="s">
        <v>108</v>
      </c>
      <c r="V330" s="9">
        <v>1</v>
      </c>
      <c r="W330" s="9">
        <v>1</v>
      </c>
      <c r="X330" s="9" t="s">
        <v>34</v>
      </c>
      <c r="Y330" s="9" t="s">
        <v>35</v>
      </c>
      <c r="Z330" s="9">
        <v>1</v>
      </c>
      <c r="AA330" s="9">
        <v>1</v>
      </c>
      <c r="AB330" s="9" t="s">
        <v>188</v>
      </c>
      <c r="AC330" s="9" t="s">
        <v>189</v>
      </c>
      <c r="AD330" s="9">
        <v>1</v>
      </c>
      <c r="AE330" s="9">
        <v>1</v>
      </c>
      <c r="BH330" s="9" t="s">
        <v>174</v>
      </c>
      <c r="BI330" s="9">
        <v>3</v>
      </c>
      <c r="BJ330" s="9">
        <v>1</v>
      </c>
      <c r="BK330" s="9">
        <v>1</v>
      </c>
    </row>
    <row r="331" spans="1:63" s="9" customFormat="1" x14ac:dyDescent="0.25">
      <c r="A331" s="9" t="str">
        <f t="shared" ref="A331:A333" si="20">"خم های تقویت شده" &amp;" " &amp;"قطر"&amp; E331 &amp;" "&amp; "ضخامت"&amp;M331&amp;" "&amp; Q331&amp;"لایه" &amp;" "&amp; AC331 &amp;"سانتی متر"</f>
        <v>خم های تقویت شده قطر102/90 ضخامت6 5لایه 30*25سانتی متر</v>
      </c>
      <c r="B331" s="9">
        <v>1</v>
      </c>
      <c r="C331" s="9" t="s">
        <v>186</v>
      </c>
      <c r="D331" s="9" t="s">
        <v>28</v>
      </c>
      <c r="E331" s="23" t="s">
        <v>166</v>
      </c>
      <c r="F331" s="9">
        <v>1</v>
      </c>
      <c r="G331" s="9">
        <v>1</v>
      </c>
      <c r="L331" s="9" t="s">
        <v>187</v>
      </c>
      <c r="M331" s="9">
        <v>6</v>
      </c>
      <c r="N331" s="9">
        <v>1</v>
      </c>
      <c r="O331" s="9">
        <v>1</v>
      </c>
      <c r="P331" s="9" t="s">
        <v>31</v>
      </c>
      <c r="Q331" s="9">
        <v>5</v>
      </c>
      <c r="R331" s="9">
        <v>1</v>
      </c>
      <c r="S331" s="9">
        <v>1</v>
      </c>
      <c r="T331" s="9" t="s">
        <v>32</v>
      </c>
      <c r="U331" s="15" t="s">
        <v>108</v>
      </c>
      <c r="V331" s="9">
        <v>1</v>
      </c>
      <c r="W331" s="9">
        <v>1</v>
      </c>
      <c r="X331" s="9" t="s">
        <v>34</v>
      </c>
      <c r="Y331" s="9" t="s">
        <v>35</v>
      </c>
      <c r="Z331" s="9">
        <v>1</v>
      </c>
      <c r="AA331" s="9">
        <v>1</v>
      </c>
      <c r="AB331" s="9" t="s">
        <v>188</v>
      </c>
      <c r="AC331" s="9" t="s">
        <v>190</v>
      </c>
      <c r="AD331" s="9">
        <v>1</v>
      </c>
      <c r="AE331" s="9">
        <v>1</v>
      </c>
      <c r="BH331" s="9" t="s">
        <v>174</v>
      </c>
      <c r="BI331" s="9">
        <v>5</v>
      </c>
      <c r="BJ331" s="9">
        <v>1</v>
      </c>
      <c r="BK331" s="9">
        <v>1</v>
      </c>
    </row>
    <row r="332" spans="1:63" s="9" customFormat="1" x14ac:dyDescent="0.25">
      <c r="A332" s="9" t="str">
        <f t="shared" si="20"/>
        <v>خم های تقویت شده قطر102 ضخامت6 5لایه 12*26*15سانتی متر</v>
      </c>
      <c r="B332" s="9">
        <v>1</v>
      </c>
      <c r="C332" s="9" t="s">
        <v>186</v>
      </c>
      <c r="D332" s="9" t="s">
        <v>28</v>
      </c>
      <c r="E332" s="9">
        <v>102</v>
      </c>
      <c r="F332" s="9">
        <v>1</v>
      </c>
      <c r="G332" s="9">
        <v>1</v>
      </c>
      <c r="L332" s="9" t="s">
        <v>187</v>
      </c>
      <c r="M332" s="9">
        <v>6</v>
      </c>
      <c r="N332" s="9">
        <v>1</v>
      </c>
      <c r="O332" s="9">
        <v>1</v>
      </c>
      <c r="P332" s="9" t="s">
        <v>31</v>
      </c>
      <c r="Q332" s="9">
        <v>5</v>
      </c>
      <c r="R332" s="9">
        <v>1</v>
      </c>
      <c r="S332" s="9">
        <v>1</v>
      </c>
      <c r="T332" s="9" t="s">
        <v>32</v>
      </c>
      <c r="U332" s="15" t="s">
        <v>108</v>
      </c>
      <c r="V332" s="9">
        <v>1</v>
      </c>
      <c r="W332" s="9">
        <v>1</v>
      </c>
      <c r="X332" s="9" t="s">
        <v>34</v>
      </c>
      <c r="Y332" s="9" t="s">
        <v>35</v>
      </c>
      <c r="Z332" s="9">
        <v>1</v>
      </c>
      <c r="AA332" s="9">
        <v>1</v>
      </c>
      <c r="AB332" s="9" t="s">
        <v>188</v>
      </c>
      <c r="AC332" s="9" t="s">
        <v>191</v>
      </c>
      <c r="AD332" s="9">
        <v>1</v>
      </c>
      <c r="AE332" s="9">
        <v>1</v>
      </c>
      <c r="BH332" s="9" t="s">
        <v>174</v>
      </c>
      <c r="BI332" s="9">
        <v>5</v>
      </c>
      <c r="BJ332" s="9">
        <v>1</v>
      </c>
      <c r="BK332" s="9">
        <v>1</v>
      </c>
    </row>
    <row r="333" spans="1:63" s="9" customFormat="1" x14ac:dyDescent="0.25">
      <c r="A333" s="9" t="str">
        <f t="shared" si="20"/>
        <v>خم های تقویت شده قطر102 ضخامت6 5لایه 13*26*20سانتی متر</v>
      </c>
      <c r="B333" s="9">
        <v>1</v>
      </c>
      <c r="C333" s="9" t="s">
        <v>186</v>
      </c>
      <c r="D333" s="9" t="s">
        <v>28</v>
      </c>
      <c r="E333" s="9">
        <v>102</v>
      </c>
      <c r="F333" s="9">
        <v>1</v>
      </c>
      <c r="G333" s="9">
        <v>1</v>
      </c>
      <c r="L333" s="9" t="s">
        <v>187</v>
      </c>
      <c r="M333" s="9">
        <v>6</v>
      </c>
      <c r="N333" s="9">
        <v>1</v>
      </c>
      <c r="O333" s="9">
        <v>1</v>
      </c>
      <c r="P333" s="9" t="s">
        <v>31</v>
      </c>
      <c r="Q333" s="9">
        <v>5</v>
      </c>
      <c r="R333" s="9">
        <v>1</v>
      </c>
      <c r="S333" s="9">
        <v>1</v>
      </c>
      <c r="T333" s="9" t="s">
        <v>32</v>
      </c>
      <c r="U333" s="15" t="s">
        <v>108</v>
      </c>
      <c r="V333" s="9">
        <v>1</v>
      </c>
      <c r="W333" s="9">
        <v>1</v>
      </c>
      <c r="X333" s="9" t="s">
        <v>34</v>
      </c>
      <c r="Y333" s="9" t="s">
        <v>35</v>
      </c>
      <c r="Z333" s="9">
        <v>1</v>
      </c>
      <c r="AA333" s="9">
        <v>1</v>
      </c>
      <c r="AB333" s="9" t="s">
        <v>188</v>
      </c>
      <c r="AC333" s="9" t="s">
        <v>192</v>
      </c>
      <c r="AD333" s="9">
        <v>1</v>
      </c>
      <c r="AE333" s="9">
        <v>1</v>
      </c>
      <c r="BH333" s="9" t="s">
        <v>174</v>
      </c>
      <c r="BI333" s="9">
        <v>5</v>
      </c>
      <c r="BJ333" s="9">
        <v>1</v>
      </c>
      <c r="BK333" s="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اکسل کیریث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L_Reza</dc:creator>
  <cp:lastModifiedBy>amirreza heydari</cp:lastModifiedBy>
  <dcterms:created xsi:type="dcterms:W3CDTF">2025-03-09T14:28:55Z</dcterms:created>
  <dcterms:modified xsi:type="dcterms:W3CDTF">2025-03-12T10:09:01Z</dcterms:modified>
</cp:coreProperties>
</file>